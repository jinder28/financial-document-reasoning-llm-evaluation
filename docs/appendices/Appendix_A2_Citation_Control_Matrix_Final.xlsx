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 activeTab="7"/>
  </bookViews>
  <sheets>
    <sheet name="README" sheetId="1" r:id="rId1"/>
    <sheet name="Dashboard" sheetId="8" r:id="rId2"/>
    <sheet name="Source Register" sheetId="2" r:id="rId3"/>
    <sheet name="Chapter 1 Support" sheetId="3" r:id="rId4"/>
    <sheet name="Chapter 2 Support" sheetId="4" r:id="rId5"/>
    <sheet name="Search Themes" sheetId="5" r:id="rId6"/>
    <sheet name="Excluded Demoted" sheetId="6" r:id="rId7"/>
    <sheet name="Link Audit" sheetId="7" r:id="rId8"/>
  </sheets>
  <calcPr calcId="162913"/>
</workbook>
</file>

<file path=xl/calcChain.xml><?xml version="1.0" encoding="utf-8"?>
<calcChain xmlns="http://schemas.openxmlformats.org/spreadsheetml/2006/main">
  <c r="F38" i="7" l="1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<sst xmlns="http://schemas.openxmlformats.org/spreadsheetml/2006/main" count="661" uniqueCount="455">
  <si>
    <t>Purpose</t>
  </si>
  <si>
    <t>Usage</t>
  </si>
  <si>
    <t>Canonical link rule</t>
  </si>
  <si>
    <t>Pinpoint rule</t>
  </si>
  <si>
    <t>Source</t>
  </si>
  <si>
    <t>Source type</t>
  </si>
  <si>
    <t>Used in</t>
  </si>
  <si>
    <t>Supported claim</t>
  </si>
  <si>
    <t>Pinpoint support location</t>
  </si>
  <si>
    <t>Citation boundary</t>
  </si>
  <si>
    <t>Canonical paper/source link</t>
  </si>
  <si>
    <t>DOI / identifier</t>
  </si>
  <si>
    <t>Open link</t>
  </si>
  <si>
    <t>Agrawal et al. (2024)</t>
  </si>
  <si>
    <t>Academic / arXiv</t>
  </si>
  <si>
    <t>Chapter 2.9</t>
  </si>
  <si>
    <t>LLM inference-system evaluation should include operational dimensions such as latency, throughput, capacity, cost-performance and user-facing responsiveness.</t>
  </si>
  <si>
    <t>Full paper HTML. Abstract; Section 2.2 Performance Metrics for LLM Inference; Section 2.3 LLM Inference Framework Evaluation; Section 3.1 Pitfalls of Existing Metrics.</t>
  </si>
  <si>
    <t>Does not support SEC 10-K accuracy or financial-document reasoning; supports operational dependent-measure selection only.</t>
  </si>
  <si>
    <t>https://arxiv.org/html/2407.07000v1</t>
  </si>
  <si>
    <t>arXiv:2407.07000v1</t>
  </si>
  <si>
    <t>An et al. (2024)</t>
  </si>
  <si>
    <t>Academic / long-context benchmark</t>
  </si>
  <si>
    <t>Chapter 1.1; 2.2; 2.3; 2.9</t>
  </si>
  <si>
    <t>L-Eval supports standardised evaluation of long-context models and long-input datasets/metrics.</t>
  </si>
  <si>
    <t>Full paper HTML. Abstract; Introduction; benchmark/dataset construction and evaluation-method sections for long-context model evaluation.</t>
  </si>
  <si>
    <t>Not SEC-specific and not a RAG comparison source.</t>
  </si>
  <si>
    <t>https://arxiv.org/html/2307.11088</t>
  </si>
  <si>
    <t>arXiv:2307.11088</t>
  </si>
  <si>
    <t>Bai et al. (2024)</t>
  </si>
  <si>
    <t>LongBench supports claims about long-context task families such as document QA, multi-document QA, summarisation, few-shot learning and synthetic tasks.</t>
  </si>
  <si>
    <t>Full paper PDF. Abstract; dataset/task taxonomy; benchmark construction and task-category description.</t>
  </si>
  <si>
    <t>Validates long-context evaluation landscape only; not SEC-specific evidence.</t>
  </si>
  <si>
    <t>https://arxiv.org/pdf/2308.14508</t>
  </si>
  <si>
    <t>arXiv:2308.14508</t>
  </si>
  <si>
    <t>Barnett et al. (2024)</t>
  </si>
  <si>
    <t>Academic / RAG engineering</t>
  </si>
  <si>
    <t>Chapter 1.2; 2.6</t>
  </si>
  <si>
    <t>RAG systems have practical failure points across retrieval, augmentation and generation stages.</t>
  </si>
  <si>
    <t>DOI paper. Abstract; 'Seven Failure Points' taxonomy and RAG engineering discussion.</t>
  </si>
  <si>
    <t>Engineering failure taxonomy; not financial-domain-specific.</t>
  </si>
  <si>
    <t>https://doi.org/10.1145/3644815.3644945</t>
  </si>
  <si>
    <t>DOI:10.1145/3644815.3644945</t>
  </si>
  <si>
    <t>Blackwell et al. (2024)</t>
  </si>
  <si>
    <t>LLM benchmark results can be affected by uncertainty, repeated-run variation and evaluation conditions.</t>
  </si>
  <si>
    <t>Full paper PDF. Abstract; introduction and uncertainty/reproducibility framing; benchmark-score uncertainty discussion.</t>
  </si>
  <si>
    <t>Supports reproducibility caution; not SEC-specific or RAG-superiority evidence.</t>
  </si>
  <si>
    <t>https://arxiv.org/pdf/2410.03492</t>
  </si>
  <si>
    <t>arXiv:2410.03492</t>
  </si>
  <si>
    <t>CFA Institute (2026)</t>
  </si>
  <si>
    <t>Professional / official body</t>
  </si>
  <si>
    <t>Chapter 1.2</t>
  </si>
  <si>
    <t>Financial reports, management commentary and audited statements are core inputs for financial analysis.</t>
  </si>
  <si>
    <t>Official webpage. Introduction and financial statement analysis overview.</t>
  </si>
  <si>
    <t>Professional-practice context only; not an LLM evaluation source.</t>
  </si>
  <si>
    <t>https://www.cfainstitute.org/insights/professional-learning/refresher-readings/2026/introduction-financial-statement-analysis</t>
  </si>
  <si>
    <t>Official webpage</t>
  </si>
  <si>
    <t>Chen et al. (2021)</t>
  </si>
  <si>
    <t>Academic / financial QA</t>
  </si>
  <si>
    <t>Chapter 2.7</t>
  </si>
  <si>
    <t>FinQA supports financial numerical reasoning over text and tabular financial data.</t>
  </si>
  <si>
    <t>DOI paper. Abstract; introduction; dataset/task description for numerical reasoning over financial data.</t>
  </si>
  <si>
    <t>Supports financial reasoning complexity; not cross-section inconsistency detection.</t>
  </si>
  <si>
    <t>https://doi.org/10.18653/v1/2021.emnlp-main.300</t>
  </si>
  <si>
    <t>DOI:10.18653/v1/2021.emnlp-main.300</t>
  </si>
  <si>
    <t>Colas and García Osma (c. 2023)</t>
  </si>
  <si>
    <t>Academic working paper</t>
  </si>
  <si>
    <t>Reporting consistency/comparability affects information costs and user interpretation of financial reporting.</t>
  </si>
  <si>
    <t>Working paper PDF. Abstract and introduction sections discussing inconsistency, incomparability and information costs.</t>
  </si>
  <si>
    <t>Accounting significance evidence; not AI/LLM benchmark evidence.</t>
  </si>
  <si>
    <t>https://www.bayes.citystgeorges.ac.uk/__data/assets/pdf_file/0005/702581/CG_Comparability_v23_wo_comments.pdf</t>
  </si>
  <si>
    <t>Working paper PDF</t>
  </si>
  <si>
    <t>Cuconasu et al. (2024)</t>
  </si>
  <si>
    <t>Academic / RAG retrieval</t>
  </si>
  <si>
    <t>Retrieved passage relevance, number and position can affect generation quality; noisy or hard-negative passages can degrade RAG outputs.</t>
  </si>
  <si>
    <t>DOI paper. Abstract; retrieval/noise experimental setup; analysis of relevance, position, number and noisy/hard-negative passages.</t>
  </si>
  <si>
    <t>General RAG retrieval study; not SEC-specific.</t>
  </si>
  <si>
    <t>https://doi.org/10.1145/3626772.3657834</t>
  </si>
  <si>
    <t>DOI:10.1145/3626772.3657834</t>
  </si>
  <si>
    <t>Deußer et al. (2023)</t>
  </si>
  <si>
    <t>Academic / financial contradiction detection</t>
  </si>
  <si>
    <t>Chapter 1.2; 2.8</t>
  </si>
  <si>
    <t>Financial contradiction-detection research supports the practical importance of identifying semantic conflicts in financial reports.</t>
  </si>
  <si>
    <t>DOI paper. Abstract; keywords and task framing for contradiction detection in financial reports.</t>
  </si>
  <si>
    <t>Supports contradiction-detection relevance; not the same LC-vs-RAG design.</t>
  </si>
  <si>
    <t>https://doi.org/10.7557/18.6799</t>
  </si>
  <si>
    <t>DOI:10.7557/18.6799</t>
  </si>
  <si>
    <t>Es et al. (2024)</t>
  </si>
  <si>
    <t>Academic / RAG evaluation</t>
  </si>
  <si>
    <t>RAG evaluation can separate context relevance, faithfulness and answer relevance.</t>
  </si>
  <si>
    <t>ACL Anthology paper. Abstract; RAGAs metric/component description; evaluation dimensions.</t>
  </si>
  <si>
    <t>RAG evaluation framework; not financial-domain-specific.</t>
  </si>
  <si>
    <t>https://aclanthology.org/2024.eacl-demo.16/</t>
  </si>
  <si>
    <t>ACL Anthology</t>
  </si>
  <si>
    <t>Gao et al. (2023)</t>
  </si>
  <si>
    <t>Academic / RAG survey</t>
  </si>
  <si>
    <t>Chapter 1.2; 2.5; 2.6</t>
  </si>
  <si>
    <t>RAG can be described as a retrieval, augmentation and generation workflow for knowledge-intensive tasks.</t>
  </si>
  <si>
    <t>Full paper HTML. Abstract; Introduction; RAG workflow taxonomy and component sections on retrieval, augmentation and generation.</t>
  </si>
  <si>
    <t>Use for RAG workflow only; not sole proof of the dissertation research gap.</t>
  </si>
  <si>
    <t>https://arxiv.org/html/2312.10997</t>
  </si>
  <si>
    <t>arXiv:2312.10997</t>
  </si>
  <si>
    <t>Hsieh et al. (2024)</t>
  </si>
  <si>
    <t>Academic / long-context evaluation</t>
  </si>
  <si>
    <t>Chapter 1.1; 2.4; 2.9</t>
  </si>
  <si>
    <t>Nominal context capacity differs from effective usable context; performance can degrade as context length or task difficulty increases.</t>
  </si>
  <si>
    <t>Full paper HTML. Abstract; Introduction; benchmark/task design for real-context-size evaluation; results on effective context length.</t>
  </si>
  <si>
    <t>Synthetic/stress evaluation; not SEC-specific.</t>
  </si>
  <si>
    <t>https://arxiv.org/html/2404.06654</t>
  </si>
  <si>
    <t>arXiv:2404.06654</t>
  </si>
  <si>
    <t>Huang et al. (2023)</t>
  </si>
  <si>
    <t>Academic / hallucination survey</t>
  </si>
  <si>
    <t>LLM outputs can be unsupported by or inconsistent with source evidence, motivating evidence grounding and hallucination controls.</t>
  </si>
  <si>
    <t>Full paper HTML. Abstract; Section 2.3 Hallucinations in Large Language Models; Section 4 Hallucination Detection and Benchmarks; Section 6 Hallucinations in RAG.</t>
  </si>
  <si>
    <t>General LLM factuality source; not a financial benchmark.</t>
  </si>
  <si>
    <t>https://arxiv.org/html/2311.05232</t>
  </si>
  <si>
    <t>arXiv:2311.05232</t>
  </si>
  <si>
    <t>Islam et al. (2023)</t>
  </si>
  <si>
    <t>Academic / financial QA benchmark</t>
  </si>
  <si>
    <t>FinanceBench supports evidence-grounded financial question answering over public-company documents.</t>
  </si>
  <si>
    <t>Full paper PDF. Abstract; benchmark/dataset description; evidence-linked financial QA task framing.</t>
  </si>
  <si>
    <t>Adjacent financial QA benchmark; not inconsistency detection.</t>
  </si>
  <si>
    <t>https://arxiv.org/pdf/2311.11944</t>
  </si>
  <si>
    <t>arXiv:2311.11944</t>
  </si>
  <si>
    <t>Jin et al. (2024)</t>
  </si>
  <si>
    <t>Academic / long-context and RAG</t>
  </si>
  <si>
    <t>Supports discussion of long-context LLMs and RAG challenges for long inputs.</t>
  </si>
  <si>
    <t>Full paper PDF. Abstract; problem framing on long inputs and RAG; method/evaluation sections if used for future methodology support.</t>
  </si>
  <si>
    <t>Background/adjacent; not central Chapter 2 evidence after compaction.</t>
  </si>
  <si>
    <t>https://arxiv.org/pdf/2410.05983</t>
  </si>
  <si>
    <t>arXiv:2410.05983</t>
  </si>
  <si>
    <t>Lai et al. (2025)</t>
  </si>
  <si>
    <t>Academic / SEC QA</t>
  </si>
  <si>
    <t>SEC-QA supports SEC-filing question-answering evaluation and retrieval-method limitations in realistic financial settings.</t>
  </si>
  <si>
    <t>DOI paper. Abstract; dataset description; results/limitations discussion on SEC filing QA.</t>
  </si>
  <si>
    <t>QA benchmark only; not logical cross-section inconsistency detection.</t>
  </si>
  <si>
    <t>https://doi.org/10.18653/v1/2025.finnlp-2.15</t>
  </si>
  <si>
    <t>DOI:10.18653/v1/2025.finnlp-2.15</t>
  </si>
  <si>
    <t>Lewis et al. (2020)</t>
  </si>
  <si>
    <t>Academic / foundational RAG</t>
  </si>
  <si>
    <t>Chapter 1.2; 2.5</t>
  </si>
  <si>
    <t>RAG combines parametric generation with non-parametric retrieved evidence and conditions generation on retrieved passages.</t>
  </si>
  <si>
    <t>Full paper PDF. Abstract; Introduction; model/method description of Retrieval-Augmented Generation.</t>
  </si>
  <si>
    <t>Foundational RAG source; not current financial-document evidence.</t>
  </si>
  <si>
    <t>https://arxiv.org/pdf/2005.11401</t>
  </si>
  <si>
    <t>arXiv:2005.11401</t>
  </si>
  <si>
    <t>Li, F. (2008)</t>
  </si>
  <si>
    <t>Academic / financial reporting</t>
  </si>
  <si>
    <t>Annual report readability relates to current earnings and earnings persistence, supporting financial-reporting complexity context.</t>
  </si>
  <si>
    <t>DOI paper. Abstract and empirical reporting/readability analysis.</t>
  </si>
  <si>
    <t>Financial-reporting context only; not LLM evaluation.</t>
  </si>
  <si>
    <t>https://doi.org/10.1016/j.jacceco.2008.02.003</t>
  </si>
  <si>
    <t>DOI:10.1016/j.jacceco.2008.02.003</t>
  </si>
  <si>
    <t>Li, M. et al. (2024)</t>
  </si>
  <si>
    <t>Academic / long-context stress test</t>
  </si>
  <si>
    <t>Chapter 2.4</t>
  </si>
  <si>
    <t>NeedleBench tests retrieval and reasoning in very large context-window settings.</t>
  </si>
  <si>
    <t>Full paper HTML. Abstract; benchmark construction; retrieval/reasoning task design; evaluation over varying information densities.</t>
  </si>
  <si>
    <t>Synthetic benchmark; not financial-document semantics.</t>
  </si>
  <si>
    <t>https://arxiv.org/html/2407.11963</t>
  </si>
  <si>
    <t>arXiv:2407.11963</t>
  </si>
  <si>
    <t>Li, X. et al. (2025)</t>
  </si>
  <si>
    <t>Academic / LC vs RAG</t>
  </si>
  <si>
    <t>Supports the point that long-context versus RAG evaluation remains task-dependent and should not be assumed a priori.</t>
  </si>
  <si>
    <t>Full paper PDF. Abstract; evaluation/revisit framing and comparative discussion.</t>
  </si>
  <si>
    <t>Adjacent comparison source; not SEC-specific.</t>
  </si>
  <si>
    <t>https://arxiv.org/pdf/2501.01880</t>
  </si>
  <si>
    <t>arXiv:2501.01880</t>
  </si>
  <si>
    <t>Li, Z. et al. (2024)</t>
  </si>
  <si>
    <t>Chapter 1.2; 2.5; 2.10</t>
  </si>
  <si>
    <t>Directly compares RAG with long-context LLM approaches and frames their relative value as task/context/cost dependent.</t>
  </si>
  <si>
    <t>Full paper HTML. Abstract; experimental comparison sections; discussion of RAG versus long-context approaches and hybrid approach.</t>
  </si>
  <si>
    <t>Does not settle this dissertation's SEC 10-K inconsistency task.</t>
  </si>
  <si>
    <t>https://arxiv.org/html/2407.16833</t>
  </si>
  <si>
    <t>arXiv:2407.16833</t>
  </si>
  <si>
    <t>Liang et al. (2022)</t>
  </si>
  <si>
    <t>Academic / LLM evaluation</t>
  </si>
  <si>
    <t>Holistic language-model evaluation should include metrics beyond accuracy, including efficiency-related dimensions.</t>
  </si>
  <si>
    <t>Full paper PDF. Abstract; HELM framework; metrics and scenario taxonomy.</t>
  </si>
  <si>
    <t>General LM evaluation; not financial-specific.</t>
  </si>
  <si>
    <t>https://arxiv.org/pdf/2211.09110</t>
  </si>
  <si>
    <t>arXiv:2211.09110</t>
  </si>
  <si>
    <t>Liu et al. (2024)</t>
  </si>
  <si>
    <t>Academic / long-context limitation</t>
  </si>
  <si>
    <t>Models may underuse evidence in long contexts; performance can degrade when relevant information appears in the middle of the input.</t>
  </si>
  <si>
    <t>Full paper PDF. Abstract; lost-in-the-middle experimental setup; empirical results on evidence position.</t>
  </si>
  <si>
    <t>Do not overclaim failure for all models/tasks.</t>
  </si>
  <si>
    <t>https://arxiv.org/pdf/2307.03172</t>
  </si>
  <si>
    <t>arXiv:2307.03172</t>
  </si>
  <si>
    <t>Loughran and McDonald (2014)</t>
  </si>
  <si>
    <t>Academic / financial disclosure</t>
  </si>
  <si>
    <t>Financial disclosure readability/complexity affects interpretation and is relevant to financial-reporting analysis.</t>
  </si>
  <si>
    <t>DOI paper. Abstract/introduction and financial-disclosure readability analysis.</t>
  </si>
  <si>
    <t>Domain-significance evidence only; not model evaluation.</t>
  </si>
  <si>
    <t>https://doi.org/10.1111/jofi.12162</t>
  </si>
  <si>
    <t>DOI:10.1111/jofi.12162</t>
  </si>
  <si>
    <t>Miller (2010)</t>
  </si>
  <si>
    <t>Academic / reporting complexity</t>
  </si>
  <si>
    <t>Reporting complexity can affect investor trading/interpretation, supporting the importance of clear financial disclosures.</t>
  </si>
  <si>
    <t>DOI paper. Abstract and empirical study of reporting complexity and investor behaviour.</t>
  </si>
  <si>
    <t>Domain-significance evidence only; not LLM evidence.</t>
  </si>
  <si>
    <t>https://doi.org/10.2308/ACCR.00000001</t>
  </si>
  <si>
    <t>DOI:10.2308/ACCR.00000001</t>
  </si>
  <si>
    <t>Naveed et al. (2025)</t>
  </si>
  <si>
    <t>Academic / LLM survey</t>
  </si>
  <si>
    <t>Chapter 2.2</t>
  </si>
  <si>
    <t>General LLM surveys describe rapid architectural and capability developments, providing broad background only.</t>
  </si>
  <si>
    <t>DOI paper. Survey overview/background sections on LLM development and capabilities.</t>
  </si>
  <si>
    <t>Use sparingly for broad background; not long-context benchmark proof.</t>
  </si>
  <si>
    <t>https://doi.org/10.1145/3744746</t>
  </si>
  <si>
    <t>DOI:10.1145/3744746</t>
  </si>
  <si>
    <t>Reddy et al. (2024)</t>
  </si>
  <si>
    <t>DocFinQA frames financial reasoning as a long-document task using full-document context.</t>
  </si>
  <si>
    <t>DOI paper. Abstract and dataset/task description for long-context financial reasoning.</t>
  </si>
  <si>
    <t>QA dataset; not contradiction/inconsistency detection.</t>
  </si>
  <si>
    <t>https://doi.org/10.18653/v1/2024.acl-short.42</t>
  </si>
  <si>
    <t>DOI:10.18653/v1/2024.acl-short.42</t>
  </si>
  <si>
    <t>Saad-Falcon et al. (2024)</t>
  </si>
  <si>
    <t>ARES supports automated evaluation of RAG systems and separation of retrieval/evaluation dimensions.</t>
  </si>
  <si>
    <t>ACL Anthology paper. Abstract; framework description; RAG evaluation dimensions.</t>
  </si>
  <si>
    <t>https://aclanthology.org/2024.naacl-long.20/</t>
  </si>
  <si>
    <t>Sokolova and Lapalme (2009)</t>
  </si>
  <si>
    <t>Academic / evaluation metrics</t>
  </si>
  <si>
    <t>Chapter 1.5; 2.9</t>
  </si>
  <si>
    <t>Accuracy alone can be misleading under class imbalance; precision, recall and F1-score are important classification measures.</t>
  </si>
  <si>
    <t>DOI paper. Abstract; sections on classification performance measures and measure properties.</t>
  </si>
  <si>
    <t>General classification metrics source; not LLM-specific.</t>
  </si>
  <si>
    <t>https://doi.org/10.1016/j.ipm.2009.03.002</t>
  </si>
  <si>
    <t>DOI:10.1016/j.ipm.2009.03.002</t>
  </si>
  <si>
    <t>U.S. SEC Office of Investor Education and Advocacy (2011)</t>
  </si>
  <si>
    <t>Official SEC guidance</t>
  </si>
  <si>
    <t>Chapter 1.2; 2.7</t>
  </si>
  <si>
    <t>SEC investor guidance supports critical reading of Form 10-K and notes that disclosures may attract staff comments where inconsistent, deficient or unclear.</t>
  </si>
  <si>
    <t>Official PDF. Investor Bulletin: How to Read a 10-K; sections on company/SEC roles and staff comments.</t>
  </si>
  <si>
    <t>Official disclosure guidance only; not LLM evidence.</t>
  </si>
  <si>
    <t>https://www.sec.gov/files/reada10k.pdf</t>
  </si>
  <si>
    <t>Official SEC PDF</t>
  </si>
  <si>
    <t>U.S. Securities and Exchange Commission (2026)</t>
  </si>
  <si>
    <t>Official SEC form</t>
  </si>
  <si>
    <t>Chapter 1.1; 1.2; 2.3; 2.4; 2.7</t>
  </si>
  <si>
    <t>Form 10-K is structured around official items including business, risks, MD&amp;A, market risk, financial statements and notes.</t>
  </si>
  <si>
    <t>Official Form 10-K instructions. Item 1, Item 1A, Item 7, Item 7A and Item 8.</t>
  </si>
  <si>
    <t>Supports document structure; not model performance.</t>
  </si>
  <si>
    <t>https://www.sec.gov/files/form10-k.pdf</t>
  </si>
  <si>
    <t>Official SEC form PDF</t>
  </si>
  <si>
    <t>U.S. Securities and Exchange Commission (n.d.)</t>
  </si>
  <si>
    <t>Official investor source</t>
  </si>
  <si>
    <t>Investor.gov supports Form 10-K as a public annual-report explanation.</t>
  </si>
  <si>
    <t>Investor.gov glossary entry for Form 10-K.</t>
  </si>
  <si>
    <t>Official definition only; not experimental evidence.</t>
  </si>
  <si>
    <t>https://www.investor.gov/introduction-investing/investing-basics/glossary/form-10-k</t>
  </si>
  <si>
    <t>Official Investor.gov page</t>
  </si>
  <si>
    <t>Wohlin et al. (2012)</t>
  </si>
  <si>
    <t>Academic / methodology book</t>
  </si>
  <si>
    <t>Chapter 2.9; Chapter 3</t>
  </si>
  <si>
    <t>Experimental software-engineering literature supports clearly defined designs, variables, treatments and validity controls.</t>
  </si>
  <si>
    <t>DOI book. Chapters on experimental design, variables, treatments, threats to validity and experimental reporting.</t>
  </si>
  <si>
    <t>Methodology support only; not LLM-specific.</t>
  </si>
  <si>
    <t>https://doi.org/10.1007/978-3-642-29044-2</t>
  </si>
  <si>
    <t>DOI:10.1007/978-3-642-29044-2</t>
  </si>
  <si>
    <t>Yu et al. (2024)</t>
  </si>
  <si>
    <t>Academic / RAG evaluation survey</t>
  </si>
  <si>
    <t>Chapter 2.6; 2.9</t>
  </si>
  <si>
    <t>RAG evaluation should consider retrieval and generation dimensions, not only final answer fluency.</t>
  </si>
  <si>
    <t>Full paper PDF. Abstract; survey taxonomy and evaluation-dimension sections for RAG.</t>
  </si>
  <si>
    <t>Survey-level evidence; not financial-specific.</t>
  </si>
  <si>
    <t>https://arxiv.org/pdf/2405.07437</t>
  </si>
  <si>
    <t>arXiv:2405.07437</t>
  </si>
  <si>
    <t>Zhao et al. (2024)</t>
  </si>
  <si>
    <t>Academic / financial claim verification</t>
  </si>
  <si>
    <t>FinDVer treats claims, evidence and verification outcomes as explicit objects over long, hybrid-content financial documents.</t>
  </si>
  <si>
    <t>DOI paper. Abstract; benchmark/dataset description; explainable claim verification task framing.</t>
  </si>
  <si>
    <t>Claim verification benchmark; not exactly the dissertation's same-model LC-vs-RAG design.</t>
  </si>
  <si>
    <t>https://doi.org/10.18653/v1/2024.emnlp-main.818</t>
  </si>
  <si>
    <t>DOI:10.18653/v1/2024.emnlp-main.818</t>
  </si>
  <si>
    <t>Zhu et al. (2021)</t>
  </si>
  <si>
    <t>TAT-QA supports the need to combine textual and tabular financial evidence for question answering.</t>
  </si>
  <si>
    <t>DOI paper. Abstract/introduction and task/dataset description for tabular-textual financial QA.</t>
  </si>
  <si>
    <t>QA/numerical reasoning benchmark; not inconsistency detection.</t>
  </si>
  <si>
    <t>https://doi.org/10.18653/v1/2021.acl-long.254</t>
  </si>
  <si>
    <t>DOI:10.18653/v1/2021.acl-long.254</t>
  </si>
  <si>
    <t>Chapter section</t>
  </si>
  <si>
    <t>Claim supported</t>
  </si>
  <si>
    <t>Source group</t>
  </si>
  <si>
    <t>Pinpoint / matrix location</t>
  </si>
  <si>
    <t>Boundary</t>
  </si>
  <si>
    <t>1.1 Background</t>
  </si>
  <si>
    <t>Large context windows create document-scale reasoning opportunity but do not guarantee robust evidence use.</t>
  </si>
  <si>
    <t>Bai; An; Hsieh; Liu; SEC 2026</t>
  </si>
  <si>
    <t>Source Register pinpoints for LongBench, L-Eval, RULER, Lost-in-the-Middle and Form 10-K structure.</t>
  </si>
  <si>
    <t>Supports motivation and limitation framing.</t>
  </si>
  <si>
    <t>1.2 Problem context</t>
  </si>
  <si>
    <t>RAG may miss/noise/fragment evidence; financial filings are structured and evidence-rich.</t>
  </si>
  <si>
    <t>Lewis; Gao; Barnett; Cuconasu; Huang; SEC 2011/2026; CFA; Li F.; Miller; Loughran and McDonald; Colas and García Osma</t>
  </si>
  <si>
    <t>Source Register pinpoints for RAG foundations/failures, SEC guidance, and financial disclosure complexity.</t>
  </si>
  <si>
    <t>Domain context plus RAG limitation evidence; not final experiment result.</t>
  </si>
  <si>
    <t>1.3 Aim and objectives</t>
  </si>
  <si>
    <t>Same-model comparison of direct long-context prompting and RAG-based prompting.</t>
  </si>
  <si>
    <t>Li Z.; Li X.; Jin; Lewis; Gao</t>
  </si>
  <si>
    <t>Source Register comparative framing and RAG foundations.</t>
  </si>
  <si>
    <t>Supports controlled comparison logic only.</t>
  </si>
  <si>
    <t>1.4 Research questions</t>
  </si>
  <si>
    <t>Performance, error patterns, and cost/latency trade-offs should be evaluated.</t>
  </si>
  <si>
    <t>Sokolova and Lapalme; Liang; Agrawal</t>
  </si>
  <si>
    <t>Source Register metrics and inference-system evaluation pinpoints.</t>
  </si>
  <si>
    <t>Supports measurement choices, not expected results.</t>
  </si>
  <si>
    <t>1.5 Methodology overview</t>
  </si>
  <si>
    <t>Classification metrics and qualitative error analysis are appropriate for the controlled task.</t>
  </si>
  <si>
    <t>Sokolova and Lapalme; Huang; Zhao; Yu</t>
  </si>
  <si>
    <t>Metric, hallucination, claim-verification and RAG evaluation support locations.</t>
  </si>
  <si>
    <t>Supports method design.</t>
  </si>
  <si>
    <t>1.6 Contribution</t>
  </si>
  <si>
    <t>The dissertation contributes a focused same-model context-delivery comparison for SEC 10-K inconsistency detection.</t>
  </si>
  <si>
    <t>Li Z.; Zhao; SEC 2026; Deußer</t>
  </si>
  <si>
    <t>Comparative, claim verification, SEC structure and contradiction-detection pinpoints.</t>
  </si>
  <si>
    <t>Contribution claim remains bounded to the dissertation design.</t>
  </si>
  <si>
    <t>2.1 Review approach</t>
  </si>
  <si>
    <t>Structured narrative review with PICOC-informed scope and Appendix A evidence traceability.</t>
  </si>
  <si>
    <t>Appendix A1/A2</t>
  </si>
  <si>
    <t>Appendix A1 Sections 2-7; Appendix A2 README and Search Themes.</t>
  </si>
  <si>
    <t>Method-control artefact, not external research evidence.</t>
  </si>
  <si>
    <t>2.2 ROUS04 and motivation</t>
  </si>
  <si>
    <t>Long-context model developments motivate document-scale reasoning; cost/latency trade-offs matter.</t>
  </si>
  <si>
    <t>Naveed; Bai; An; Agrawal</t>
  </si>
  <si>
    <t>Source Register broad LLM survey, long-context benchmarks and operational metrics pinpoints.</t>
  </si>
  <si>
    <t>Does not prove task outcome.</t>
  </si>
  <si>
    <t>2.3 Document-scale reasoning</t>
  </si>
  <si>
    <t>LongBench and L-Eval support long-context evaluation landscape; SEC 10-Ks are structured disclosures.</t>
  </si>
  <si>
    <t>Bai; An; SEC 2026</t>
  </si>
  <si>
    <t>LongBench/L-Eval benchmark pinpoints; SEC official Form 10-K item structure.</t>
  </si>
  <si>
    <t>Benchmarks are adjacent, not SEC-specific.</t>
  </si>
  <si>
    <t>2.4 Long-context limitations</t>
  </si>
  <si>
    <t>Position sensitivity, effective-context limits and synthetic stress tests justify empirical validation.</t>
  </si>
  <si>
    <t>Liu; Hsieh; Li M.; SEC 2026</t>
  </si>
  <si>
    <t>Lost-in-middle; RULER; NeedleBench; SEC filing section structure.</t>
  </si>
  <si>
    <t>Does not imply all long-context prompting fails.</t>
  </si>
  <si>
    <t>2.5 RAG baseline</t>
  </si>
  <si>
    <t>RAG is retrieval-mediated context delivery, not a competing model family.</t>
  </si>
  <si>
    <t>Lewis; Gao; Li Z.</t>
  </si>
  <si>
    <t>RAG formulation; RAG workflow; LC-vs-RAG comparison paper.</t>
  </si>
  <si>
    <t>Does not establish SEC 10-K result.</t>
  </si>
  <si>
    <t>2.6 RAG limitations</t>
  </si>
  <si>
    <t>Retrieval miss, noise and fragmentation can distort evidence supplied to generation.</t>
  </si>
  <si>
    <t>Cuconasu; Barnett; Yu; Gao</t>
  </si>
  <si>
    <t>RAG noise/position/number, engineering failure points, evaluation dimensions, workflow taxonomy.</t>
  </si>
  <si>
    <t>General RAG evidence; financial table fragmentation is dissertation-specific synthesis.</t>
  </si>
  <si>
    <t>2.7 Financial documents</t>
  </si>
  <si>
    <t>SEC 10-Ks are public, structured, lengthy and evidence-rich; financial benchmarks are adjacent.</t>
  </si>
  <si>
    <t>SEC n.d.; SEC 2011; SEC 2026; Islam; Lai; Reddy; Chen; Zhu</t>
  </si>
  <si>
    <t>Official SEC sources and financial QA/dataset pinpoints.</t>
  </si>
  <si>
    <t>QA/numerical benchmarks do not directly test inconsistency detection.</t>
  </si>
  <si>
    <t>2.8 Evidence grounding</t>
  </si>
  <si>
    <t>Hallucination, claim verification and contradiction detection motivate the label schema.</t>
  </si>
  <si>
    <t>Huang; Zhao; Deußer</t>
  </si>
  <si>
    <t>Hallucination taxonomy; FinDVer claim/evidence framing; financial contradiction detection.</t>
  </si>
  <si>
    <t>Motivates labels; not same-model LC-vs-RAG proof.</t>
  </si>
  <si>
    <t>2.9 Research methods</t>
  </si>
  <si>
    <t>Prior methods support benchmark evaluation, RAG evaluation dimensions, class-specific metrics, cost/latency and reproducibility controls.</t>
  </si>
  <si>
    <t>Bai; An; Liu; Hsieh; Es; Yu; Saad-Falcon; Sokolova and Lapalme; Liang; Agrawal; Wohlin; Blackwell</t>
  </si>
  <si>
    <t>Source Register methods/evaluation pinpoints.</t>
  </si>
  <si>
    <t>Supports methodology selection only.</t>
  </si>
  <si>
    <t>2.10 Gap and summary</t>
  </si>
  <si>
    <t>The final gap is a same-model context-delivery comparison for SEC 10-K cross-section inconsistency detection.</t>
  </si>
  <si>
    <t>All relevant source groups via Appendix A2</t>
  </si>
  <si>
    <t>Source Register and Chapter 2 Support rows.</t>
  </si>
  <si>
    <t>Synthesis gap, not a direct finding.</t>
  </si>
  <si>
    <t>Theme</t>
  </si>
  <si>
    <t>Search-string family / terms</t>
  </si>
  <si>
    <t>T1 Long-context LLMs</t>
  </si>
  <si>
    <t>long-context LLM; document-scale reasoning; large context window; long-context benchmark</t>
  </si>
  <si>
    <t>Establish document-scale input opportunity.</t>
  </si>
  <si>
    <t>T2 Long-context limitations</t>
  </si>
  <si>
    <t>lost in the middle; position sensitivity; effective context size; long-context factuality</t>
  </si>
  <si>
    <t>Establish why capacity does not guarantee evidence use.</t>
  </si>
  <si>
    <t>T3 RAG and retrieval-based prompting</t>
  </si>
  <si>
    <t>retrieval-augmented generation; RAG pipeline; retrieval-based prompting</t>
  </si>
  <si>
    <t>Define RAG as comparison context-delivery strategy.</t>
  </si>
  <si>
    <t>T4 RAG limitations</t>
  </si>
  <si>
    <t>retrieval noise; hard negatives; retrieval miss; chunking; evidence fragmentation</t>
  </si>
  <si>
    <t>Define retrieval-related qualitative error categories.</t>
  </si>
  <si>
    <t>T5 Financial-document reasoning</t>
  </si>
  <si>
    <t>financial QA; SEC filings; 10-K; financial document reasoning; long financial documents</t>
  </si>
  <si>
    <t>Justify financial document setting.</t>
  </si>
  <si>
    <t>T6 Evidence grounding and hallucination</t>
  </si>
  <si>
    <t>hallucination; factuality; faithfulness; evidence grounding; grounded generation</t>
  </si>
  <si>
    <t>Support label/evidence-grounding design.</t>
  </si>
  <si>
    <t>T7 Claim verification and inconsistency</t>
  </si>
  <si>
    <t>claim verification; contradiction detection; financial reports; inconsistency detection</t>
  </si>
  <si>
    <t>Support claim/evidence/outcome framing.</t>
  </si>
  <si>
    <t>T8 Evaluation methods</t>
  </si>
  <si>
    <t>precision recall F1; qualitative error analysis; cost latency; LLM evaluation; reproducibility</t>
  </si>
  <si>
    <t>Support metrics and methodology controls.</t>
  </si>
  <si>
    <t>T9 Official and implementation facts</t>
  </si>
  <si>
    <t>SEC Form 10-K; EDGAR; model documentation; pricing; rate limits</t>
  </si>
  <si>
    <t>Support official facts, not academic performance claims.</t>
  </si>
  <si>
    <t>Source/branch</t>
  </si>
  <si>
    <t>Decision</t>
  </si>
  <si>
    <t>Reason</t>
  </si>
  <si>
    <t>LoRA/domain-adapted model comparison</t>
  </si>
  <si>
    <t>Excluded from core</t>
  </si>
  <si>
    <t>Removed from the core scope because it would change the model variable and break the same-model context-delivery comparison.</t>
  </si>
  <si>
    <t>Multi-model benchmarking</t>
  </si>
  <si>
    <t>The experiment isolates context-delivery strategy using one selected model.</t>
  </si>
  <si>
    <t>Broad summarisation as primary task</t>
  </si>
  <si>
    <t>The final task is cross-section inconsistency detection, not general summarisation.</t>
  </si>
  <si>
    <t>Risk-factor extraction as primary task</t>
  </si>
  <si>
    <t>Demoted</t>
  </si>
  <si>
    <t>Relevant to SEC 10-K filing context, but not the primary experiment task, could be future work.</t>
  </si>
  <si>
    <t>Narrative drift as separate task</t>
  </si>
  <si>
    <t>Related to inconsistency, but not retained as a separate experimental task.</t>
  </si>
  <si>
    <t>Pre-2020 AI capability claims</t>
  </si>
  <si>
    <t>Restricted</t>
  </si>
  <si>
    <t>Older sources may support stable metrics/methods/regulatory context, not current LLM/RAG capability.</t>
  </si>
  <si>
    <t>Primary link</t>
  </si>
  <si>
    <t>Fallback / record link</t>
  </si>
  <si>
    <t>Identifier</t>
  </si>
  <si>
    <t>Status</t>
  </si>
  <si>
    <t>Open primary</t>
  </si>
  <si>
    <t>https://arxiv.org/pdf/2407.07000v1</t>
  </si>
  <si>
    <t>Reviewed</t>
  </si>
  <si>
    <t>https://arxiv.org/pdf/2307.11088</t>
  </si>
  <si>
    <t>https://arxiv.org/abs/2308.14508</t>
  </si>
  <si>
    <t>https://arxiv.org/abs/2410.03492</t>
  </si>
  <si>
    <t>https://arxiv.org/pdf/2312.10997</t>
  </si>
  <si>
    <t>https://arxiv.org/pdf/2404.06654</t>
  </si>
  <si>
    <t>https://arxiv.org/pdf/2311.05232</t>
  </si>
  <si>
    <t>https://arxiv.org/abs/2311.11944</t>
  </si>
  <si>
    <t>https://arxiv.org/abs/2410.05983</t>
  </si>
  <si>
    <t>https://arxiv.org/abs/2005.11401</t>
  </si>
  <si>
    <t>https://arxiv.org/pdf/2407.11963</t>
  </si>
  <si>
    <t>https://arxiv.org/abs/2501.01880</t>
  </si>
  <si>
    <t>https://arxiv.org/pdf/2407.16833</t>
  </si>
  <si>
    <t>https://arxiv.org/abs/2211.09110</t>
  </si>
  <si>
    <t>https://arxiv.org/abs/2307.03172</t>
  </si>
  <si>
    <t>https://arxiv.org/abs/2405.07437</t>
  </si>
  <si>
    <t>Appendix A2 Dashboard</t>
  </si>
  <si>
    <t>Final cited sources</t>
  </si>
  <si>
    <t>Source Register</t>
  </si>
  <si>
    <t>Chapter 1 support rows</t>
  </si>
  <si>
    <t>Chapter 1 Support</t>
  </si>
  <si>
    <t>Chapter 2 support rows</t>
  </si>
  <si>
    <t>Chapter 2 Support</t>
  </si>
  <si>
    <t>Search themes</t>
  </si>
  <si>
    <t>Search Themes</t>
  </si>
  <si>
    <t>Excluded/demoted branches</t>
  </si>
  <si>
    <t>Excluded Demoted</t>
  </si>
  <si>
    <t>Canonical link policy</t>
  </si>
  <si>
    <t>Full paper/source links</t>
  </si>
  <si>
    <t>DOI resolver, arXiv HTML/PDF, official pages</t>
  </si>
  <si>
    <t>Appendix A2</t>
  </si>
  <si>
    <t>Citation Control Matrix</t>
  </si>
  <si>
    <t>Records source-level citation control for literature and reference traceability, including source roles, canonical links, support locations, supported claims and citation boundaries.</t>
  </si>
  <si>
    <t>Use the Source Register and chapter-support sheets to confirm what each citation supports and what it does not prove.</t>
  </si>
  <si>
    <t>DOI sources use DOI resolver links; arXiv sources use full paper HTML where available, otherwise full paper PDF.</t>
  </si>
  <si>
    <t>Support locations identify the abstract, section, table, benchmark description, official form item or methodology area used for the dissertation claim.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</si>
</sst>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3">
    <xf numFmtId="0" fontId="0" fillId="0" borderId="0" xfId="0" applyBorder="1"/>
    <xf numFmtId="0" fontId="1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ourceRegisterTable" displayName="SourceRegisterTable" ref="A1:I38">
  <tableColumns count="9">
    <tableColumn id="1" name="Source"/>
    <tableColumn id="2" name="Source type"/>
    <tableColumn id="3" name="Used in"/>
    <tableColumn id="4" name="Supported claim"/>
    <tableColumn id="5" name="Pinpoint support location"/>
    <tableColumn id="6" name="Citation boundary"/>
    <tableColumn id="7" name="Canonical paper/source link"/>
    <tableColumn id="8" name="DOI / identifier"/>
    <tableColumn id="9" name="Open 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pter1SupportTable" displayName="Chapter1SupportTable" ref="A1:E7">
  <tableColumns count="5">
    <tableColumn id="1" name="Chapter section"/>
    <tableColumn id="2" name="Claim supported"/>
    <tableColumn id="3" name="Source group"/>
    <tableColumn id="4" name="Pinpoint / matrix location"/>
    <tableColumn id="5" name="Bounda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pter2SupportTable" displayName="Chapter2SupportTable" ref="A1:E11">
  <tableColumns count="5">
    <tableColumn id="1" name="Chapter section"/>
    <tableColumn id="2" name="Claim supported"/>
    <tableColumn id="3" name="Source group"/>
    <tableColumn id="4" name="Pinpoint / matrix location"/>
    <tableColumn id="5" name="Bound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archThemesTable" displayName="SearchThemesTable" ref="A1:C10">
  <tableColumns count="3">
    <tableColumn id="1" name="Theme"/>
    <tableColumn id="2" name="Search-string family / terms"/>
    <tableColumn id="3" name="Purpo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cludedDemotedTable" displayName="ExcludedDemotedTable" ref="A1:C7">
  <tableColumns count="3">
    <tableColumn id="1" name="Source/branch"/>
    <tableColumn id="2" name="Decision"/>
    <tableColumn id="3" name="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inkAuditTable" displayName="LinkAuditTable" ref="A1:F38">
  <tableColumns count="6">
    <tableColumn id="1" name="Source"/>
    <tableColumn id="2" name="Primary link"/>
    <tableColumn id="3" name="Fallback / record link"/>
    <tableColumn id="4" name="Identifier"/>
    <tableColumn id="5" name="Status"/>
    <tableColumn id="6" name="Open prim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 activeCell="B5" sqref="B5"/>
    </sheetView>
  </sheetViews>
  <sheetFormatPr defaultRowHeight="14.25"/>
  <cols>
    <col min="1" max="1" width="16.375" customWidth="1"/>
    <col min="2" max="2" width="74.125" customWidth="1"/>
  </cols>
  <sheetData>
    <row r="1" spans="1:2" ht="18" customHeight="1">
      <c r="A1" s="1" t="s">
        <v>449</v>
      </c>
      <c r="B1" s="1" t="s">
        <v>450</v>
      </c>
    </row>
    <row r="2" spans="1:2" ht="25.5">
      <c r="A2" s="2" t="s">
        <v>0</v>
      </c>
      <c r="B2" s="2" t="s">
        <v>451</v>
      </c>
    </row>
    <row r="3" spans="1:2" ht="25.5">
      <c r="A3" s="2" t="s">
        <v>1</v>
      </c>
      <c r="B3" s="2" t="s">
        <v>452</v>
      </c>
    </row>
    <row r="4" spans="1:2" ht="25.5">
      <c r="A4" s="2" t="s">
        <v>2</v>
      </c>
      <c r="B4" s="2" t="s">
        <v>453</v>
      </c>
    </row>
    <row r="5" spans="1:2" ht="25.5">
      <c r="A5" s="2" t="s">
        <v>3</v>
      </c>
      <c r="B5" s="2" t="s">
        <v>454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 activeCell="C23" sqref="C23"/>
    </sheetView>
  </sheetViews>
  <sheetFormatPr defaultRowHeight="14.25"/>
  <cols>
    <col min="1" max="1" width="27" customWidth="1"/>
    <col min="2" max="2" width="25" customWidth="1"/>
    <col min="3" max="3" width="38" customWidth="1"/>
  </cols>
  <sheetData>
    <row r="1" spans="1:3" ht="18" customHeight="1">
      <c r="A1" s="1" t="s">
        <v>435</v>
      </c>
      <c r="B1" s="1"/>
      <c r="C1" s="1"/>
    </row>
    <row r="2" spans="1:3" ht="30" customHeight="1">
      <c r="A2" s="2" t="s">
        <v>436</v>
      </c>
      <c r="B2" s="2">
        <v>37</v>
      </c>
      <c r="C2" s="2" t="s">
        <v>437</v>
      </c>
    </row>
    <row r="3" spans="1:3" ht="30" customHeight="1">
      <c r="A3" s="2" t="s">
        <v>438</v>
      </c>
      <c r="B3" s="2">
        <v>6</v>
      </c>
      <c r="C3" s="2" t="s">
        <v>439</v>
      </c>
    </row>
    <row r="4" spans="1:3" ht="30" customHeight="1">
      <c r="A4" s="2" t="s">
        <v>440</v>
      </c>
      <c r="B4" s="2">
        <v>10</v>
      </c>
      <c r="C4" s="2" t="s">
        <v>441</v>
      </c>
    </row>
    <row r="5" spans="1:3" ht="30" customHeight="1">
      <c r="A5" s="2" t="s">
        <v>442</v>
      </c>
      <c r="B5" s="2">
        <v>9</v>
      </c>
      <c r="C5" s="2" t="s">
        <v>443</v>
      </c>
    </row>
    <row r="6" spans="1:3" ht="30" customHeight="1">
      <c r="A6" s="2" t="s">
        <v>444</v>
      </c>
      <c r="B6" s="2">
        <v>6</v>
      </c>
      <c r="C6" s="2" t="s">
        <v>445</v>
      </c>
    </row>
    <row r="7" spans="1:3" ht="30" customHeight="1">
      <c r="A7" s="2" t="s">
        <v>446</v>
      </c>
      <c r="B7" s="2" t="s">
        <v>447</v>
      </c>
      <c r="C7" s="2" t="s">
        <v>448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D1" workbookViewId="0">
      <selection activeCell="G1" sqref="G1"/>
    </sheetView>
  </sheetViews>
  <sheetFormatPr defaultRowHeight="14.25"/>
  <cols>
    <col min="1" max="2" width="38" customWidth="1"/>
    <col min="3" max="3" width="33" customWidth="1"/>
    <col min="4" max="7" width="38" customWidth="1"/>
    <col min="8" max="8" width="37" customWidth="1"/>
    <col min="9" max="9" width="24" customWidth="1"/>
  </cols>
  <sheetData>
    <row r="1" spans="1:9" ht="18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ht="30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tr">
        <f t="shared" ref="I2:I38" si="0">HYPERLINK(G2,"Open")</f>
        <v>Open</v>
      </c>
    </row>
    <row r="3" spans="1:9" ht="30" customHeight="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tr">
        <f t="shared" si="0"/>
        <v>Open</v>
      </c>
    </row>
    <row r="4" spans="1:9" ht="30" customHeight="1">
      <c r="A4" s="2" t="s">
        <v>29</v>
      </c>
      <c r="B4" s="2" t="s">
        <v>22</v>
      </c>
      <c r="C4" s="2" t="s">
        <v>23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tr">
        <f t="shared" si="0"/>
        <v>Open</v>
      </c>
    </row>
    <row r="5" spans="1:9" ht="30" customHeight="1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tr">
        <f t="shared" si="0"/>
        <v>Open</v>
      </c>
    </row>
    <row r="6" spans="1:9" ht="30" customHeight="1">
      <c r="A6" s="2" t="s">
        <v>43</v>
      </c>
      <c r="B6" s="2" t="s">
        <v>14</v>
      </c>
      <c r="C6" s="2" t="s">
        <v>15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tr">
        <f t="shared" si="0"/>
        <v>Open</v>
      </c>
    </row>
    <row r="7" spans="1:9" ht="30" customHeight="1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tr">
        <f t="shared" si="0"/>
        <v>Open</v>
      </c>
    </row>
    <row r="8" spans="1:9" ht="30" customHeight="1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2" t="str">
        <f t="shared" si="0"/>
        <v>Open</v>
      </c>
    </row>
    <row r="9" spans="1:9" ht="30" customHeight="1">
      <c r="A9" s="2" t="s">
        <v>65</v>
      </c>
      <c r="B9" s="2" t="s">
        <v>66</v>
      </c>
      <c r="C9" s="2" t="s">
        <v>51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2" t="str">
        <f t="shared" si="0"/>
        <v>Open</v>
      </c>
    </row>
    <row r="10" spans="1:9" ht="30" customHeight="1">
      <c r="A10" s="2" t="s">
        <v>72</v>
      </c>
      <c r="B10" s="2" t="s">
        <v>73</v>
      </c>
      <c r="C10" s="2" t="s">
        <v>37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tr">
        <f t="shared" si="0"/>
        <v>Open</v>
      </c>
    </row>
    <row r="11" spans="1:9" ht="30" customHeight="1">
      <c r="A11" s="2" t="s">
        <v>79</v>
      </c>
      <c r="B11" s="2" t="s">
        <v>80</v>
      </c>
      <c r="C11" s="2" t="s">
        <v>81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86</v>
      </c>
      <c r="I11" s="2" t="str">
        <f t="shared" si="0"/>
        <v>Open</v>
      </c>
    </row>
    <row r="12" spans="1:9" ht="30" customHeight="1">
      <c r="A12" s="2" t="s">
        <v>87</v>
      </c>
      <c r="B12" s="2" t="s">
        <v>88</v>
      </c>
      <c r="C12" s="2" t="s">
        <v>15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tr">
        <f t="shared" si="0"/>
        <v>Open</v>
      </c>
    </row>
    <row r="13" spans="1:9" ht="30" customHeight="1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99</v>
      </c>
      <c r="G13" s="2" t="s">
        <v>100</v>
      </c>
      <c r="H13" s="2" t="s">
        <v>101</v>
      </c>
      <c r="I13" s="2" t="str">
        <f t="shared" si="0"/>
        <v>Open</v>
      </c>
    </row>
    <row r="14" spans="1:9" ht="30" customHeight="1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107</v>
      </c>
      <c r="G14" s="2" t="s">
        <v>108</v>
      </c>
      <c r="H14" s="2" t="s">
        <v>109</v>
      </c>
      <c r="I14" s="2" t="str">
        <f t="shared" si="0"/>
        <v>Open</v>
      </c>
    </row>
    <row r="15" spans="1:9" ht="30" customHeight="1">
      <c r="A15" s="2" t="s">
        <v>110</v>
      </c>
      <c r="B15" s="2" t="s">
        <v>111</v>
      </c>
      <c r="C15" s="2" t="s">
        <v>81</v>
      </c>
      <c r="D15" s="2" t="s">
        <v>112</v>
      </c>
      <c r="E15" s="2" t="s">
        <v>113</v>
      </c>
      <c r="F15" s="2" t="s">
        <v>114</v>
      </c>
      <c r="G15" s="2" t="s">
        <v>115</v>
      </c>
      <c r="H15" s="2" t="s">
        <v>116</v>
      </c>
      <c r="I15" s="2" t="str">
        <f t="shared" si="0"/>
        <v>Open</v>
      </c>
    </row>
    <row r="16" spans="1:9" ht="30" customHeight="1">
      <c r="A16" s="2" t="s">
        <v>117</v>
      </c>
      <c r="B16" s="2" t="s">
        <v>118</v>
      </c>
      <c r="C16" s="2" t="s">
        <v>59</v>
      </c>
      <c r="D16" s="2" t="s">
        <v>119</v>
      </c>
      <c r="E16" s="2" t="s">
        <v>120</v>
      </c>
      <c r="F16" s="2" t="s">
        <v>121</v>
      </c>
      <c r="G16" s="2" t="s">
        <v>122</v>
      </c>
      <c r="H16" s="2" t="s">
        <v>123</v>
      </c>
      <c r="I16" s="2" t="str">
        <f t="shared" si="0"/>
        <v>Open</v>
      </c>
    </row>
    <row r="17" spans="1:9" ht="30" customHeight="1">
      <c r="A17" s="2" t="s">
        <v>124</v>
      </c>
      <c r="B17" s="2" t="s">
        <v>125</v>
      </c>
      <c r="C17" s="2" t="s">
        <v>51</v>
      </c>
      <c r="D17" s="2" t="s">
        <v>126</v>
      </c>
      <c r="E17" s="2" t="s">
        <v>127</v>
      </c>
      <c r="F17" s="2" t="s">
        <v>128</v>
      </c>
      <c r="G17" s="2" t="s">
        <v>129</v>
      </c>
      <c r="H17" s="2" t="s">
        <v>130</v>
      </c>
      <c r="I17" s="2" t="str">
        <f t="shared" si="0"/>
        <v>Open</v>
      </c>
    </row>
    <row r="18" spans="1:9" ht="30" customHeight="1">
      <c r="A18" s="2" t="s">
        <v>131</v>
      </c>
      <c r="B18" s="2" t="s">
        <v>132</v>
      </c>
      <c r="C18" s="2" t="s">
        <v>59</v>
      </c>
      <c r="D18" s="2" t="s">
        <v>133</v>
      </c>
      <c r="E18" s="2" t="s">
        <v>134</v>
      </c>
      <c r="F18" s="2" t="s">
        <v>135</v>
      </c>
      <c r="G18" s="2" t="s">
        <v>136</v>
      </c>
      <c r="H18" s="2" t="s">
        <v>137</v>
      </c>
      <c r="I18" s="2" t="str">
        <f t="shared" si="0"/>
        <v>Open</v>
      </c>
    </row>
    <row r="19" spans="1:9" ht="30" customHeight="1">
      <c r="A19" s="2" t="s">
        <v>138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143</v>
      </c>
      <c r="G19" s="2" t="s">
        <v>144</v>
      </c>
      <c r="H19" s="2" t="s">
        <v>145</v>
      </c>
      <c r="I19" s="2" t="str">
        <f t="shared" si="0"/>
        <v>Open</v>
      </c>
    </row>
    <row r="20" spans="1:9" ht="30" customHeight="1">
      <c r="A20" s="2" t="s">
        <v>146</v>
      </c>
      <c r="B20" s="2" t="s">
        <v>147</v>
      </c>
      <c r="C20" s="2" t="s">
        <v>51</v>
      </c>
      <c r="D20" s="2" t="s">
        <v>148</v>
      </c>
      <c r="E20" s="2" t="s">
        <v>149</v>
      </c>
      <c r="F20" s="2" t="s">
        <v>150</v>
      </c>
      <c r="G20" s="2" t="s">
        <v>151</v>
      </c>
      <c r="H20" s="2" t="s">
        <v>152</v>
      </c>
      <c r="I20" s="2" t="str">
        <f t="shared" si="0"/>
        <v>Open</v>
      </c>
    </row>
    <row r="21" spans="1:9" ht="30" customHeight="1">
      <c r="A21" s="2" t="s">
        <v>153</v>
      </c>
      <c r="B21" s="2" t="s">
        <v>154</v>
      </c>
      <c r="C21" s="2" t="s">
        <v>155</v>
      </c>
      <c r="D21" s="2" t="s">
        <v>156</v>
      </c>
      <c r="E21" s="2" t="s">
        <v>157</v>
      </c>
      <c r="F21" s="2" t="s">
        <v>158</v>
      </c>
      <c r="G21" s="2" t="s">
        <v>159</v>
      </c>
      <c r="H21" s="2" t="s">
        <v>160</v>
      </c>
      <c r="I21" s="2" t="str">
        <f t="shared" si="0"/>
        <v>Open</v>
      </c>
    </row>
    <row r="22" spans="1:9" ht="30" customHeight="1">
      <c r="A22" s="2" t="s">
        <v>161</v>
      </c>
      <c r="B22" s="2" t="s">
        <v>162</v>
      </c>
      <c r="C22" s="2" t="s">
        <v>51</v>
      </c>
      <c r="D22" s="2" t="s">
        <v>163</v>
      </c>
      <c r="E22" s="2" t="s">
        <v>164</v>
      </c>
      <c r="F22" s="2" t="s">
        <v>165</v>
      </c>
      <c r="G22" s="2" t="s">
        <v>166</v>
      </c>
      <c r="H22" s="2" t="s">
        <v>167</v>
      </c>
      <c r="I22" s="2" t="str">
        <f t="shared" si="0"/>
        <v>Open</v>
      </c>
    </row>
    <row r="23" spans="1:9" ht="30" customHeight="1">
      <c r="A23" s="2" t="s">
        <v>168</v>
      </c>
      <c r="B23" s="2" t="s">
        <v>162</v>
      </c>
      <c r="C23" s="2" t="s">
        <v>169</v>
      </c>
      <c r="D23" s="2" t="s">
        <v>170</v>
      </c>
      <c r="E23" s="2" t="s">
        <v>171</v>
      </c>
      <c r="F23" s="2" t="s">
        <v>172</v>
      </c>
      <c r="G23" s="2" t="s">
        <v>173</v>
      </c>
      <c r="H23" s="2" t="s">
        <v>174</v>
      </c>
      <c r="I23" s="2" t="str">
        <f t="shared" si="0"/>
        <v>Open</v>
      </c>
    </row>
    <row r="24" spans="1:9" ht="30" customHeight="1">
      <c r="A24" s="2" t="s">
        <v>175</v>
      </c>
      <c r="B24" s="2" t="s">
        <v>176</v>
      </c>
      <c r="C24" s="2" t="s">
        <v>15</v>
      </c>
      <c r="D24" s="2" t="s">
        <v>177</v>
      </c>
      <c r="E24" s="2" t="s">
        <v>178</v>
      </c>
      <c r="F24" s="2" t="s">
        <v>179</v>
      </c>
      <c r="G24" s="2" t="s">
        <v>180</v>
      </c>
      <c r="H24" s="2" t="s">
        <v>181</v>
      </c>
      <c r="I24" s="2" t="str">
        <f t="shared" si="0"/>
        <v>Open</v>
      </c>
    </row>
    <row r="25" spans="1:9" ht="30" customHeight="1">
      <c r="A25" s="2" t="s">
        <v>182</v>
      </c>
      <c r="B25" s="2" t="s">
        <v>183</v>
      </c>
      <c r="C25" s="2" t="s">
        <v>104</v>
      </c>
      <c r="D25" s="2" t="s">
        <v>184</v>
      </c>
      <c r="E25" s="2" t="s">
        <v>185</v>
      </c>
      <c r="F25" s="2" t="s">
        <v>186</v>
      </c>
      <c r="G25" s="2" t="s">
        <v>187</v>
      </c>
      <c r="H25" s="2" t="s">
        <v>188</v>
      </c>
      <c r="I25" s="2" t="str">
        <f t="shared" si="0"/>
        <v>Open</v>
      </c>
    </row>
    <row r="26" spans="1:9" ht="30" customHeight="1">
      <c r="A26" s="2" t="s">
        <v>189</v>
      </c>
      <c r="B26" s="2" t="s">
        <v>190</v>
      </c>
      <c r="C26" s="2" t="s">
        <v>51</v>
      </c>
      <c r="D26" s="2" t="s">
        <v>191</v>
      </c>
      <c r="E26" s="2" t="s">
        <v>192</v>
      </c>
      <c r="F26" s="2" t="s">
        <v>193</v>
      </c>
      <c r="G26" s="2" t="s">
        <v>194</v>
      </c>
      <c r="H26" s="2" t="s">
        <v>195</v>
      </c>
      <c r="I26" s="2" t="str">
        <f t="shared" si="0"/>
        <v>Open</v>
      </c>
    </row>
    <row r="27" spans="1:9" ht="30" customHeight="1">
      <c r="A27" s="2" t="s">
        <v>196</v>
      </c>
      <c r="B27" s="2" t="s">
        <v>197</v>
      </c>
      <c r="C27" s="2" t="s">
        <v>51</v>
      </c>
      <c r="D27" s="2" t="s">
        <v>198</v>
      </c>
      <c r="E27" s="2" t="s">
        <v>199</v>
      </c>
      <c r="F27" s="2" t="s">
        <v>200</v>
      </c>
      <c r="G27" s="2" t="s">
        <v>201</v>
      </c>
      <c r="H27" s="2" t="s">
        <v>202</v>
      </c>
      <c r="I27" s="2" t="str">
        <f t="shared" si="0"/>
        <v>Open</v>
      </c>
    </row>
    <row r="28" spans="1:9" ht="30" customHeight="1">
      <c r="A28" s="2" t="s">
        <v>203</v>
      </c>
      <c r="B28" s="2" t="s">
        <v>204</v>
      </c>
      <c r="C28" s="2" t="s">
        <v>205</v>
      </c>
      <c r="D28" s="2" t="s">
        <v>206</v>
      </c>
      <c r="E28" s="2" t="s">
        <v>207</v>
      </c>
      <c r="F28" s="2" t="s">
        <v>208</v>
      </c>
      <c r="G28" s="2" t="s">
        <v>209</v>
      </c>
      <c r="H28" s="2" t="s">
        <v>210</v>
      </c>
      <c r="I28" s="2" t="str">
        <f t="shared" si="0"/>
        <v>Open</v>
      </c>
    </row>
    <row r="29" spans="1:9" ht="30" customHeight="1">
      <c r="A29" s="2" t="s">
        <v>211</v>
      </c>
      <c r="B29" s="2" t="s">
        <v>58</v>
      </c>
      <c r="C29" s="2" t="s">
        <v>59</v>
      </c>
      <c r="D29" s="2" t="s">
        <v>212</v>
      </c>
      <c r="E29" s="2" t="s">
        <v>213</v>
      </c>
      <c r="F29" s="2" t="s">
        <v>214</v>
      </c>
      <c r="G29" s="2" t="s">
        <v>215</v>
      </c>
      <c r="H29" s="2" t="s">
        <v>216</v>
      </c>
      <c r="I29" s="2" t="str">
        <f t="shared" si="0"/>
        <v>Open</v>
      </c>
    </row>
    <row r="30" spans="1:9" ht="30" customHeight="1">
      <c r="A30" s="2" t="s">
        <v>217</v>
      </c>
      <c r="B30" s="2" t="s">
        <v>88</v>
      </c>
      <c r="C30" s="2" t="s">
        <v>15</v>
      </c>
      <c r="D30" s="2" t="s">
        <v>218</v>
      </c>
      <c r="E30" s="2" t="s">
        <v>219</v>
      </c>
      <c r="F30" s="2" t="s">
        <v>91</v>
      </c>
      <c r="G30" s="2" t="s">
        <v>220</v>
      </c>
      <c r="H30" s="2" t="s">
        <v>93</v>
      </c>
      <c r="I30" s="2" t="str">
        <f t="shared" si="0"/>
        <v>Open</v>
      </c>
    </row>
    <row r="31" spans="1:9" ht="30" customHeight="1">
      <c r="A31" s="2" t="s">
        <v>221</v>
      </c>
      <c r="B31" s="2" t="s">
        <v>222</v>
      </c>
      <c r="C31" s="2" t="s">
        <v>223</v>
      </c>
      <c r="D31" s="2" t="s">
        <v>224</v>
      </c>
      <c r="E31" s="2" t="s">
        <v>225</v>
      </c>
      <c r="F31" s="2" t="s">
        <v>226</v>
      </c>
      <c r="G31" s="2" t="s">
        <v>227</v>
      </c>
      <c r="H31" s="2" t="s">
        <v>228</v>
      </c>
      <c r="I31" s="2" t="str">
        <f t="shared" si="0"/>
        <v>Open</v>
      </c>
    </row>
    <row r="32" spans="1:9" ht="30" customHeight="1">
      <c r="A32" s="2" t="s">
        <v>229</v>
      </c>
      <c r="B32" s="2" t="s">
        <v>230</v>
      </c>
      <c r="C32" s="2" t="s">
        <v>231</v>
      </c>
      <c r="D32" s="2" t="s">
        <v>232</v>
      </c>
      <c r="E32" s="2" t="s">
        <v>233</v>
      </c>
      <c r="F32" s="2" t="s">
        <v>234</v>
      </c>
      <c r="G32" s="2" t="s">
        <v>235</v>
      </c>
      <c r="H32" s="2" t="s">
        <v>236</v>
      </c>
      <c r="I32" s="2" t="str">
        <f t="shared" si="0"/>
        <v>Open</v>
      </c>
    </row>
    <row r="33" spans="1:9" ht="30" customHeight="1">
      <c r="A33" s="2" t="s">
        <v>237</v>
      </c>
      <c r="B33" s="2" t="s">
        <v>238</v>
      </c>
      <c r="C33" s="2" t="s">
        <v>239</v>
      </c>
      <c r="D33" s="2" t="s">
        <v>240</v>
      </c>
      <c r="E33" s="2" t="s">
        <v>241</v>
      </c>
      <c r="F33" s="2" t="s">
        <v>242</v>
      </c>
      <c r="G33" s="2" t="s">
        <v>243</v>
      </c>
      <c r="H33" s="2" t="s">
        <v>244</v>
      </c>
      <c r="I33" s="2" t="str">
        <f t="shared" si="0"/>
        <v>Open</v>
      </c>
    </row>
    <row r="34" spans="1:9" ht="30" customHeight="1">
      <c r="A34" s="2" t="s">
        <v>245</v>
      </c>
      <c r="B34" s="2" t="s">
        <v>246</v>
      </c>
      <c r="C34" s="2" t="s">
        <v>59</v>
      </c>
      <c r="D34" s="2" t="s">
        <v>247</v>
      </c>
      <c r="E34" s="2" t="s">
        <v>248</v>
      </c>
      <c r="F34" s="2" t="s">
        <v>249</v>
      </c>
      <c r="G34" s="2" t="s">
        <v>250</v>
      </c>
      <c r="H34" s="2" t="s">
        <v>251</v>
      </c>
      <c r="I34" s="2" t="str">
        <f t="shared" si="0"/>
        <v>Open</v>
      </c>
    </row>
    <row r="35" spans="1:9" ht="30" customHeight="1">
      <c r="A35" s="2" t="s">
        <v>252</v>
      </c>
      <c r="B35" s="2" t="s">
        <v>253</v>
      </c>
      <c r="C35" s="2" t="s">
        <v>254</v>
      </c>
      <c r="D35" s="2" t="s">
        <v>255</v>
      </c>
      <c r="E35" s="2" t="s">
        <v>256</v>
      </c>
      <c r="F35" s="2" t="s">
        <v>257</v>
      </c>
      <c r="G35" s="2" t="s">
        <v>258</v>
      </c>
      <c r="H35" s="2" t="s">
        <v>259</v>
      </c>
      <c r="I35" s="2" t="str">
        <f t="shared" si="0"/>
        <v>Open</v>
      </c>
    </row>
    <row r="36" spans="1:9" ht="30" customHeight="1">
      <c r="A36" s="2" t="s">
        <v>260</v>
      </c>
      <c r="B36" s="2" t="s">
        <v>261</v>
      </c>
      <c r="C36" s="2" t="s">
        <v>262</v>
      </c>
      <c r="D36" s="2" t="s">
        <v>263</v>
      </c>
      <c r="E36" s="2" t="s">
        <v>264</v>
      </c>
      <c r="F36" s="2" t="s">
        <v>265</v>
      </c>
      <c r="G36" s="2" t="s">
        <v>266</v>
      </c>
      <c r="H36" s="2" t="s">
        <v>267</v>
      </c>
      <c r="I36" s="2" t="str">
        <f t="shared" si="0"/>
        <v>Open</v>
      </c>
    </row>
    <row r="37" spans="1:9" ht="30" customHeight="1">
      <c r="A37" s="2" t="s">
        <v>268</v>
      </c>
      <c r="B37" s="2" t="s">
        <v>269</v>
      </c>
      <c r="C37" s="2" t="s">
        <v>81</v>
      </c>
      <c r="D37" s="2" t="s">
        <v>270</v>
      </c>
      <c r="E37" s="2" t="s">
        <v>271</v>
      </c>
      <c r="F37" s="2" t="s">
        <v>272</v>
      </c>
      <c r="G37" s="2" t="s">
        <v>273</v>
      </c>
      <c r="H37" s="2" t="s">
        <v>274</v>
      </c>
      <c r="I37" s="2" t="str">
        <f t="shared" si="0"/>
        <v>Open</v>
      </c>
    </row>
    <row r="38" spans="1:9" ht="30" customHeight="1">
      <c r="A38" s="2" t="s">
        <v>275</v>
      </c>
      <c r="B38" s="2" t="s">
        <v>58</v>
      </c>
      <c r="C38" s="2" t="s">
        <v>59</v>
      </c>
      <c r="D38" s="2" t="s">
        <v>276</v>
      </c>
      <c r="E38" s="2" t="s">
        <v>277</v>
      </c>
      <c r="F38" s="2" t="s">
        <v>278</v>
      </c>
      <c r="G38" s="2" t="s">
        <v>279</v>
      </c>
      <c r="H38" s="2" t="s">
        <v>280</v>
      </c>
      <c r="I38" s="2" t="str">
        <f t="shared" si="0"/>
        <v>Open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6" customWidth="1"/>
    <col min="2" max="5" width="38" customWidth="1"/>
  </cols>
  <sheetData>
    <row r="1" spans="1:5" ht="18" customHeight="1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</row>
    <row r="2" spans="1:5" ht="30" customHeight="1">
      <c r="A2" s="2" t="s">
        <v>286</v>
      </c>
      <c r="B2" s="2" t="s">
        <v>287</v>
      </c>
      <c r="C2" s="2" t="s">
        <v>288</v>
      </c>
      <c r="D2" s="2" t="s">
        <v>289</v>
      </c>
      <c r="E2" s="2" t="s">
        <v>290</v>
      </c>
    </row>
    <row r="3" spans="1:5" ht="30" customHeight="1">
      <c r="A3" s="2" t="s">
        <v>291</v>
      </c>
      <c r="B3" s="2" t="s">
        <v>292</v>
      </c>
      <c r="C3" s="2" t="s">
        <v>293</v>
      </c>
      <c r="D3" s="2" t="s">
        <v>294</v>
      </c>
      <c r="E3" s="2" t="s">
        <v>295</v>
      </c>
    </row>
    <row r="4" spans="1:5" ht="30" customHeight="1">
      <c r="A4" s="2" t="s">
        <v>296</v>
      </c>
      <c r="B4" s="2" t="s">
        <v>297</v>
      </c>
      <c r="C4" s="2" t="s">
        <v>298</v>
      </c>
      <c r="D4" s="2" t="s">
        <v>299</v>
      </c>
      <c r="E4" s="2" t="s">
        <v>300</v>
      </c>
    </row>
    <row r="5" spans="1:5" ht="30" customHeight="1">
      <c r="A5" s="2" t="s">
        <v>301</v>
      </c>
      <c r="B5" s="2" t="s">
        <v>302</v>
      </c>
      <c r="C5" s="2" t="s">
        <v>303</v>
      </c>
      <c r="D5" s="2" t="s">
        <v>304</v>
      </c>
      <c r="E5" s="2" t="s">
        <v>305</v>
      </c>
    </row>
    <row r="6" spans="1:5" ht="30" customHeight="1">
      <c r="A6" s="2" t="s">
        <v>306</v>
      </c>
      <c r="B6" s="2" t="s">
        <v>307</v>
      </c>
      <c r="C6" s="2" t="s">
        <v>308</v>
      </c>
      <c r="D6" s="2" t="s">
        <v>309</v>
      </c>
      <c r="E6" s="2" t="s">
        <v>310</v>
      </c>
    </row>
    <row r="7" spans="1:5" ht="30" customHeight="1">
      <c r="A7" s="2" t="s">
        <v>311</v>
      </c>
      <c r="B7" s="2" t="s">
        <v>312</v>
      </c>
      <c r="C7" s="2" t="s">
        <v>313</v>
      </c>
      <c r="D7" s="2" t="s">
        <v>314</v>
      </c>
      <c r="E7" s="2" t="s">
        <v>315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30" customWidth="1"/>
    <col min="2" max="5" width="38" customWidth="1"/>
  </cols>
  <sheetData>
    <row r="1" spans="1:5" ht="18" customHeight="1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</row>
    <row r="2" spans="1:5" ht="30" customHeight="1">
      <c r="A2" s="2" t="s">
        <v>316</v>
      </c>
      <c r="B2" s="2" t="s">
        <v>317</v>
      </c>
      <c r="C2" s="2" t="s">
        <v>318</v>
      </c>
      <c r="D2" s="2" t="s">
        <v>319</v>
      </c>
      <c r="E2" s="2" t="s">
        <v>320</v>
      </c>
    </row>
    <row r="3" spans="1:5" ht="30" customHeight="1">
      <c r="A3" s="2" t="s">
        <v>321</v>
      </c>
      <c r="B3" s="2" t="s">
        <v>322</v>
      </c>
      <c r="C3" s="2" t="s">
        <v>323</v>
      </c>
      <c r="D3" s="2" t="s">
        <v>324</v>
      </c>
      <c r="E3" s="2" t="s">
        <v>325</v>
      </c>
    </row>
    <row r="4" spans="1:5" ht="30" customHeight="1">
      <c r="A4" s="2" t="s">
        <v>326</v>
      </c>
      <c r="B4" s="2" t="s">
        <v>327</v>
      </c>
      <c r="C4" s="2" t="s">
        <v>328</v>
      </c>
      <c r="D4" s="2" t="s">
        <v>329</v>
      </c>
      <c r="E4" s="2" t="s">
        <v>330</v>
      </c>
    </row>
    <row r="5" spans="1:5" ht="30" customHeight="1">
      <c r="A5" s="2" t="s">
        <v>331</v>
      </c>
      <c r="B5" s="2" t="s">
        <v>332</v>
      </c>
      <c r="C5" s="2" t="s">
        <v>333</v>
      </c>
      <c r="D5" s="2" t="s">
        <v>334</v>
      </c>
      <c r="E5" s="2" t="s">
        <v>335</v>
      </c>
    </row>
    <row r="6" spans="1:5" ht="30" customHeight="1">
      <c r="A6" s="2" t="s">
        <v>336</v>
      </c>
      <c r="B6" s="2" t="s">
        <v>337</v>
      </c>
      <c r="C6" s="2" t="s">
        <v>338</v>
      </c>
      <c r="D6" s="2" t="s">
        <v>339</v>
      </c>
      <c r="E6" s="2" t="s">
        <v>340</v>
      </c>
    </row>
    <row r="7" spans="1:5" ht="30" customHeight="1">
      <c r="A7" s="2" t="s">
        <v>341</v>
      </c>
      <c r="B7" s="2" t="s">
        <v>342</v>
      </c>
      <c r="C7" s="2" t="s">
        <v>343</v>
      </c>
      <c r="D7" s="2" t="s">
        <v>344</v>
      </c>
      <c r="E7" s="2" t="s">
        <v>345</v>
      </c>
    </row>
    <row r="8" spans="1:5" ht="30" customHeight="1">
      <c r="A8" s="2" t="s">
        <v>346</v>
      </c>
      <c r="B8" s="2" t="s">
        <v>347</v>
      </c>
      <c r="C8" s="2" t="s">
        <v>348</v>
      </c>
      <c r="D8" s="2" t="s">
        <v>349</v>
      </c>
      <c r="E8" s="2" t="s">
        <v>350</v>
      </c>
    </row>
    <row r="9" spans="1:5" ht="30" customHeight="1">
      <c r="A9" s="2" t="s">
        <v>351</v>
      </c>
      <c r="B9" s="2" t="s">
        <v>352</v>
      </c>
      <c r="C9" s="2" t="s">
        <v>353</v>
      </c>
      <c r="D9" s="2" t="s">
        <v>354</v>
      </c>
      <c r="E9" s="2" t="s">
        <v>355</v>
      </c>
    </row>
    <row r="10" spans="1:5" ht="30" customHeight="1">
      <c r="A10" s="2" t="s">
        <v>356</v>
      </c>
      <c r="B10" s="2" t="s">
        <v>357</v>
      </c>
      <c r="C10" s="2" t="s">
        <v>358</v>
      </c>
      <c r="D10" s="2" t="s">
        <v>359</v>
      </c>
      <c r="E10" s="2" t="s">
        <v>360</v>
      </c>
    </row>
    <row r="11" spans="1:5" ht="30" customHeight="1">
      <c r="A11" s="2" t="s">
        <v>361</v>
      </c>
      <c r="B11" s="2" t="s">
        <v>362</v>
      </c>
      <c r="C11" s="2" t="s">
        <v>363</v>
      </c>
      <c r="D11" s="2" t="s">
        <v>364</v>
      </c>
      <c r="E11" s="2" t="s">
        <v>365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 activeCell="C12" sqref="C12"/>
    </sheetView>
  </sheetViews>
  <sheetFormatPr defaultRowHeight="14.25"/>
  <cols>
    <col min="1" max="3" width="38" customWidth="1"/>
  </cols>
  <sheetData>
    <row r="1" spans="1:3" ht="18" customHeight="1">
      <c r="A1" s="1" t="s">
        <v>366</v>
      </c>
      <c r="B1" s="1" t="s">
        <v>367</v>
      </c>
      <c r="C1" s="1" t="s">
        <v>0</v>
      </c>
    </row>
    <row r="2" spans="1:3" ht="30" customHeight="1">
      <c r="A2" s="2" t="s">
        <v>368</v>
      </c>
      <c r="B2" s="2" t="s">
        <v>369</v>
      </c>
      <c r="C2" s="2" t="s">
        <v>370</v>
      </c>
    </row>
    <row r="3" spans="1:3" ht="30" customHeight="1">
      <c r="A3" s="2" t="s">
        <v>371</v>
      </c>
      <c r="B3" s="2" t="s">
        <v>372</v>
      </c>
      <c r="C3" s="2" t="s">
        <v>373</v>
      </c>
    </row>
    <row r="4" spans="1:3" ht="30" customHeight="1">
      <c r="A4" s="2" t="s">
        <v>374</v>
      </c>
      <c r="B4" s="2" t="s">
        <v>375</v>
      </c>
      <c r="C4" s="2" t="s">
        <v>376</v>
      </c>
    </row>
    <row r="5" spans="1:3" ht="30" customHeight="1">
      <c r="A5" s="2" t="s">
        <v>377</v>
      </c>
      <c r="B5" s="2" t="s">
        <v>378</v>
      </c>
      <c r="C5" s="2" t="s">
        <v>379</v>
      </c>
    </row>
    <row r="6" spans="1:3" ht="30" customHeight="1">
      <c r="A6" s="2" t="s">
        <v>380</v>
      </c>
      <c r="B6" s="2" t="s">
        <v>381</v>
      </c>
      <c r="C6" s="2" t="s">
        <v>382</v>
      </c>
    </row>
    <row r="7" spans="1:3" ht="30" customHeight="1">
      <c r="A7" s="2" t="s">
        <v>383</v>
      </c>
      <c r="B7" s="2" t="s">
        <v>384</v>
      </c>
      <c r="C7" s="2" t="s">
        <v>385</v>
      </c>
    </row>
    <row r="8" spans="1:3" ht="30" customHeight="1">
      <c r="A8" s="2" t="s">
        <v>386</v>
      </c>
      <c r="B8" s="2" t="s">
        <v>387</v>
      </c>
      <c r="C8" s="2" t="s">
        <v>388</v>
      </c>
    </row>
    <row r="9" spans="1:3" ht="30" customHeight="1">
      <c r="A9" s="2" t="s">
        <v>389</v>
      </c>
      <c r="B9" s="2" t="s">
        <v>390</v>
      </c>
      <c r="C9" s="2" t="s">
        <v>391</v>
      </c>
    </row>
    <row r="10" spans="1:3" ht="30" customHeight="1">
      <c r="A10" s="2" t="s">
        <v>392</v>
      </c>
      <c r="B10" s="2" t="s">
        <v>393</v>
      </c>
      <c r="C10" s="2" t="s">
        <v>394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 activeCell="C5" sqref="C5"/>
    </sheetView>
  </sheetViews>
  <sheetFormatPr defaultRowHeight="14.25"/>
  <cols>
    <col min="1" max="1" width="38" customWidth="1"/>
    <col min="2" max="2" width="20" customWidth="1"/>
    <col min="3" max="3" width="38" customWidth="1"/>
  </cols>
  <sheetData>
    <row r="1" spans="1:3" ht="18" customHeight="1">
      <c r="A1" s="1" t="s">
        <v>395</v>
      </c>
      <c r="B1" s="1" t="s">
        <v>396</v>
      </c>
      <c r="C1" s="1" t="s">
        <v>397</v>
      </c>
    </row>
    <row r="2" spans="1:3" ht="30" customHeight="1">
      <c r="A2" s="2" t="s">
        <v>398</v>
      </c>
      <c r="B2" s="2" t="s">
        <v>399</v>
      </c>
      <c r="C2" s="2" t="s">
        <v>400</v>
      </c>
    </row>
    <row r="3" spans="1:3" ht="30" customHeight="1">
      <c r="A3" s="2" t="s">
        <v>401</v>
      </c>
      <c r="B3" s="2" t="s">
        <v>399</v>
      </c>
      <c r="C3" s="2" t="s">
        <v>402</v>
      </c>
    </row>
    <row r="4" spans="1:3" ht="30" customHeight="1">
      <c r="A4" s="2" t="s">
        <v>403</v>
      </c>
      <c r="B4" s="2" t="s">
        <v>399</v>
      </c>
      <c r="C4" s="2" t="s">
        <v>404</v>
      </c>
    </row>
    <row r="5" spans="1:3" ht="30" customHeight="1">
      <c r="A5" s="2" t="s">
        <v>405</v>
      </c>
      <c r="B5" s="2" t="s">
        <v>406</v>
      </c>
      <c r="C5" s="2" t="s">
        <v>407</v>
      </c>
    </row>
    <row r="6" spans="1:3" ht="30" customHeight="1">
      <c r="A6" s="2" t="s">
        <v>408</v>
      </c>
      <c r="B6" s="2" t="s">
        <v>406</v>
      </c>
      <c r="C6" s="2" t="s">
        <v>409</v>
      </c>
    </row>
    <row r="7" spans="1:3" ht="30" customHeight="1">
      <c r="A7" s="2" t="s">
        <v>410</v>
      </c>
      <c r="B7" s="2" t="s">
        <v>411</v>
      </c>
      <c r="C7" s="2" t="s">
        <v>412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C1" sqref="C1"/>
    </sheetView>
  </sheetViews>
  <sheetFormatPr defaultRowHeight="14.25"/>
  <cols>
    <col min="1" max="3" width="38" customWidth="1"/>
    <col min="4" max="4" width="37" customWidth="1"/>
    <col min="5" max="5" width="10" customWidth="1"/>
    <col min="6" max="6" width="24" customWidth="1"/>
  </cols>
  <sheetData>
    <row r="1" spans="1:6" ht="18" customHeight="1">
      <c r="A1" s="1" t="s">
        <v>4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417</v>
      </c>
    </row>
    <row r="2" spans="1:6" ht="30" customHeight="1">
      <c r="A2" s="2" t="s">
        <v>13</v>
      </c>
      <c r="B2" s="2" t="s">
        <v>19</v>
      </c>
      <c r="C2" s="2" t="s">
        <v>418</v>
      </c>
      <c r="D2" s="2" t="s">
        <v>20</v>
      </c>
      <c r="E2" s="2" t="s">
        <v>419</v>
      </c>
      <c r="F2" s="2" t="str">
        <f t="shared" ref="F2:F38" si="0">HYPERLINK(B2,"Open")</f>
        <v>Open</v>
      </c>
    </row>
    <row r="3" spans="1:6" ht="30" customHeight="1">
      <c r="A3" s="2" t="s">
        <v>21</v>
      </c>
      <c r="B3" s="2" t="s">
        <v>27</v>
      </c>
      <c r="C3" s="2" t="s">
        <v>420</v>
      </c>
      <c r="D3" s="2" t="s">
        <v>28</v>
      </c>
      <c r="E3" s="2" t="s">
        <v>419</v>
      </c>
      <c r="F3" s="2" t="str">
        <f t="shared" si="0"/>
        <v>Open</v>
      </c>
    </row>
    <row r="4" spans="1:6" ht="30" customHeight="1">
      <c r="A4" s="2" t="s">
        <v>29</v>
      </c>
      <c r="B4" s="2" t="s">
        <v>33</v>
      </c>
      <c r="C4" s="2" t="s">
        <v>421</v>
      </c>
      <c r="D4" s="2" t="s">
        <v>34</v>
      </c>
      <c r="E4" s="2" t="s">
        <v>419</v>
      </c>
      <c r="F4" s="2" t="str">
        <f t="shared" si="0"/>
        <v>Open</v>
      </c>
    </row>
    <row r="5" spans="1:6" ht="30" customHeight="1">
      <c r="A5" s="2" t="s">
        <v>35</v>
      </c>
      <c r="B5" s="2" t="s">
        <v>41</v>
      </c>
      <c r="C5" s="2" t="s">
        <v>41</v>
      </c>
      <c r="D5" s="2" t="s">
        <v>42</v>
      </c>
      <c r="E5" s="2" t="s">
        <v>419</v>
      </c>
      <c r="F5" s="2" t="str">
        <f t="shared" si="0"/>
        <v>Open</v>
      </c>
    </row>
    <row r="6" spans="1:6" ht="30" customHeight="1">
      <c r="A6" s="2" t="s">
        <v>43</v>
      </c>
      <c r="B6" s="2" t="s">
        <v>47</v>
      </c>
      <c r="C6" s="2" t="s">
        <v>422</v>
      </c>
      <c r="D6" s="2" t="s">
        <v>48</v>
      </c>
      <c r="E6" s="2" t="s">
        <v>419</v>
      </c>
      <c r="F6" s="2" t="str">
        <f t="shared" si="0"/>
        <v>Open</v>
      </c>
    </row>
    <row r="7" spans="1:6" ht="30" customHeight="1">
      <c r="A7" s="2" t="s">
        <v>49</v>
      </c>
      <c r="B7" s="2" t="s">
        <v>55</v>
      </c>
      <c r="C7" s="2" t="s">
        <v>55</v>
      </c>
      <c r="D7" s="2" t="s">
        <v>56</v>
      </c>
      <c r="E7" s="2" t="s">
        <v>419</v>
      </c>
      <c r="F7" s="2" t="str">
        <f t="shared" si="0"/>
        <v>Open</v>
      </c>
    </row>
    <row r="8" spans="1:6" ht="30" customHeight="1">
      <c r="A8" s="2" t="s">
        <v>57</v>
      </c>
      <c r="B8" s="2" t="s">
        <v>63</v>
      </c>
      <c r="C8" s="2" t="s">
        <v>63</v>
      </c>
      <c r="D8" s="2" t="s">
        <v>64</v>
      </c>
      <c r="E8" s="2" t="s">
        <v>419</v>
      </c>
      <c r="F8" s="2" t="str">
        <f t="shared" si="0"/>
        <v>Open</v>
      </c>
    </row>
    <row r="9" spans="1:6" ht="30" customHeight="1">
      <c r="A9" s="2" t="s">
        <v>65</v>
      </c>
      <c r="B9" s="2" t="s">
        <v>70</v>
      </c>
      <c r="C9" s="2" t="s">
        <v>70</v>
      </c>
      <c r="D9" s="2" t="s">
        <v>71</v>
      </c>
      <c r="E9" s="2" t="s">
        <v>419</v>
      </c>
      <c r="F9" s="2" t="str">
        <f t="shared" si="0"/>
        <v>Open</v>
      </c>
    </row>
    <row r="10" spans="1:6" ht="30" customHeight="1">
      <c r="A10" s="2" t="s">
        <v>72</v>
      </c>
      <c r="B10" s="2" t="s">
        <v>77</v>
      </c>
      <c r="C10" s="2" t="s">
        <v>77</v>
      </c>
      <c r="D10" s="2" t="s">
        <v>78</v>
      </c>
      <c r="E10" s="2" t="s">
        <v>419</v>
      </c>
      <c r="F10" s="2" t="str">
        <f t="shared" si="0"/>
        <v>Open</v>
      </c>
    </row>
    <row r="11" spans="1:6" ht="30" customHeight="1">
      <c r="A11" s="2" t="s">
        <v>79</v>
      </c>
      <c r="B11" s="2" t="s">
        <v>85</v>
      </c>
      <c r="C11" s="2" t="s">
        <v>85</v>
      </c>
      <c r="D11" s="2" t="s">
        <v>86</v>
      </c>
      <c r="E11" s="2" t="s">
        <v>419</v>
      </c>
      <c r="F11" s="2" t="str">
        <f t="shared" si="0"/>
        <v>Open</v>
      </c>
    </row>
    <row r="12" spans="1:6" ht="30" customHeight="1">
      <c r="A12" s="2" t="s">
        <v>87</v>
      </c>
      <c r="B12" s="2" t="s">
        <v>92</v>
      </c>
      <c r="C12" s="2" t="s">
        <v>92</v>
      </c>
      <c r="D12" s="2" t="s">
        <v>93</v>
      </c>
      <c r="E12" s="2" t="s">
        <v>419</v>
      </c>
      <c r="F12" s="2" t="str">
        <f t="shared" si="0"/>
        <v>Open</v>
      </c>
    </row>
    <row r="13" spans="1:6" ht="30" customHeight="1">
      <c r="A13" s="2" t="s">
        <v>94</v>
      </c>
      <c r="B13" s="2" t="s">
        <v>100</v>
      </c>
      <c r="C13" s="2" t="s">
        <v>423</v>
      </c>
      <c r="D13" s="2" t="s">
        <v>101</v>
      </c>
      <c r="E13" s="2" t="s">
        <v>419</v>
      </c>
      <c r="F13" s="2" t="str">
        <f t="shared" si="0"/>
        <v>Open</v>
      </c>
    </row>
    <row r="14" spans="1:6" ht="30" customHeight="1">
      <c r="A14" s="2" t="s">
        <v>102</v>
      </c>
      <c r="B14" s="2" t="s">
        <v>108</v>
      </c>
      <c r="C14" s="2" t="s">
        <v>424</v>
      </c>
      <c r="D14" s="2" t="s">
        <v>109</v>
      </c>
      <c r="E14" s="2" t="s">
        <v>419</v>
      </c>
      <c r="F14" s="2" t="str">
        <f t="shared" si="0"/>
        <v>Open</v>
      </c>
    </row>
    <row r="15" spans="1:6" ht="30" customHeight="1">
      <c r="A15" s="2" t="s">
        <v>110</v>
      </c>
      <c r="B15" s="2" t="s">
        <v>115</v>
      </c>
      <c r="C15" s="2" t="s">
        <v>425</v>
      </c>
      <c r="D15" s="2" t="s">
        <v>116</v>
      </c>
      <c r="E15" s="2" t="s">
        <v>419</v>
      </c>
      <c r="F15" s="2" t="str">
        <f t="shared" si="0"/>
        <v>Open</v>
      </c>
    </row>
    <row r="16" spans="1:6" ht="30" customHeight="1">
      <c r="A16" s="2" t="s">
        <v>117</v>
      </c>
      <c r="B16" s="2" t="s">
        <v>122</v>
      </c>
      <c r="C16" s="2" t="s">
        <v>426</v>
      </c>
      <c r="D16" s="2" t="s">
        <v>123</v>
      </c>
      <c r="E16" s="2" t="s">
        <v>419</v>
      </c>
      <c r="F16" s="2" t="str">
        <f t="shared" si="0"/>
        <v>Open</v>
      </c>
    </row>
    <row r="17" spans="1:6" ht="30" customHeight="1">
      <c r="A17" s="2" t="s">
        <v>124</v>
      </c>
      <c r="B17" s="2" t="s">
        <v>129</v>
      </c>
      <c r="C17" s="2" t="s">
        <v>427</v>
      </c>
      <c r="D17" s="2" t="s">
        <v>130</v>
      </c>
      <c r="E17" s="2" t="s">
        <v>419</v>
      </c>
      <c r="F17" s="2" t="str">
        <f t="shared" si="0"/>
        <v>Open</v>
      </c>
    </row>
    <row r="18" spans="1:6" ht="30" customHeight="1">
      <c r="A18" s="2" t="s">
        <v>131</v>
      </c>
      <c r="B18" s="2" t="s">
        <v>136</v>
      </c>
      <c r="C18" s="2" t="s">
        <v>136</v>
      </c>
      <c r="D18" s="2" t="s">
        <v>137</v>
      </c>
      <c r="E18" s="2" t="s">
        <v>419</v>
      </c>
      <c r="F18" s="2" t="str">
        <f t="shared" si="0"/>
        <v>Open</v>
      </c>
    </row>
    <row r="19" spans="1:6" ht="30" customHeight="1">
      <c r="A19" s="2" t="s">
        <v>138</v>
      </c>
      <c r="B19" s="2" t="s">
        <v>144</v>
      </c>
      <c r="C19" s="2" t="s">
        <v>428</v>
      </c>
      <c r="D19" s="2" t="s">
        <v>145</v>
      </c>
      <c r="E19" s="2" t="s">
        <v>419</v>
      </c>
      <c r="F19" s="2" t="str">
        <f t="shared" si="0"/>
        <v>Open</v>
      </c>
    </row>
    <row r="20" spans="1:6" ht="30" customHeight="1">
      <c r="A20" s="2" t="s">
        <v>146</v>
      </c>
      <c r="B20" s="2" t="s">
        <v>151</v>
      </c>
      <c r="C20" s="2" t="s">
        <v>151</v>
      </c>
      <c r="D20" s="2" t="s">
        <v>152</v>
      </c>
      <c r="E20" s="2" t="s">
        <v>419</v>
      </c>
      <c r="F20" s="2" t="str">
        <f t="shared" si="0"/>
        <v>Open</v>
      </c>
    </row>
    <row r="21" spans="1:6" ht="30" customHeight="1">
      <c r="A21" s="2" t="s">
        <v>153</v>
      </c>
      <c r="B21" s="2" t="s">
        <v>159</v>
      </c>
      <c r="C21" s="2" t="s">
        <v>429</v>
      </c>
      <c r="D21" s="2" t="s">
        <v>160</v>
      </c>
      <c r="E21" s="2" t="s">
        <v>419</v>
      </c>
      <c r="F21" s="2" t="str">
        <f t="shared" si="0"/>
        <v>Open</v>
      </c>
    </row>
    <row r="22" spans="1:6" ht="30" customHeight="1">
      <c r="A22" s="2" t="s">
        <v>161</v>
      </c>
      <c r="B22" s="2" t="s">
        <v>166</v>
      </c>
      <c r="C22" s="2" t="s">
        <v>430</v>
      </c>
      <c r="D22" s="2" t="s">
        <v>167</v>
      </c>
      <c r="E22" s="2" t="s">
        <v>419</v>
      </c>
      <c r="F22" s="2" t="str">
        <f t="shared" si="0"/>
        <v>Open</v>
      </c>
    </row>
    <row r="23" spans="1:6" ht="30" customHeight="1">
      <c r="A23" s="2" t="s">
        <v>168</v>
      </c>
      <c r="B23" s="2" t="s">
        <v>173</v>
      </c>
      <c r="C23" s="2" t="s">
        <v>431</v>
      </c>
      <c r="D23" s="2" t="s">
        <v>174</v>
      </c>
      <c r="E23" s="2" t="s">
        <v>419</v>
      </c>
      <c r="F23" s="2" t="str">
        <f t="shared" si="0"/>
        <v>Open</v>
      </c>
    </row>
    <row r="24" spans="1:6" ht="30" customHeight="1">
      <c r="A24" s="2" t="s">
        <v>175</v>
      </c>
      <c r="B24" s="2" t="s">
        <v>180</v>
      </c>
      <c r="C24" s="2" t="s">
        <v>432</v>
      </c>
      <c r="D24" s="2" t="s">
        <v>181</v>
      </c>
      <c r="E24" s="2" t="s">
        <v>419</v>
      </c>
      <c r="F24" s="2" t="str">
        <f t="shared" si="0"/>
        <v>Open</v>
      </c>
    </row>
    <row r="25" spans="1:6" ht="30" customHeight="1">
      <c r="A25" s="2" t="s">
        <v>182</v>
      </c>
      <c r="B25" s="2" t="s">
        <v>187</v>
      </c>
      <c r="C25" s="2" t="s">
        <v>433</v>
      </c>
      <c r="D25" s="2" t="s">
        <v>188</v>
      </c>
      <c r="E25" s="2" t="s">
        <v>419</v>
      </c>
      <c r="F25" s="2" t="str">
        <f t="shared" si="0"/>
        <v>Open</v>
      </c>
    </row>
    <row r="26" spans="1:6" ht="30" customHeight="1">
      <c r="A26" s="2" t="s">
        <v>189</v>
      </c>
      <c r="B26" s="2" t="s">
        <v>194</v>
      </c>
      <c r="C26" s="2" t="s">
        <v>194</v>
      </c>
      <c r="D26" s="2" t="s">
        <v>195</v>
      </c>
      <c r="E26" s="2" t="s">
        <v>419</v>
      </c>
      <c r="F26" s="2" t="str">
        <f t="shared" si="0"/>
        <v>Open</v>
      </c>
    </row>
    <row r="27" spans="1:6" ht="30" customHeight="1">
      <c r="A27" s="2" t="s">
        <v>196</v>
      </c>
      <c r="B27" s="2" t="s">
        <v>201</v>
      </c>
      <c r="C27" s="2" t="s">
        <v>201</v>
      </c>
      <c r="D27" s="2" t="s">
        <v>202</v>
      </c>
      <c r="E27" s="2" t="s">
        <v>419</v>
      </c>
      <c r="F27" s="2" t="str">
        <f t="shared" si="0"/>
        <v>Open</v>
      </c>
    </row>
    <row r="28" spans="1:6" ht="30" customHeight="1">
      <c r="A28" s="2" t="s">
        <v>203</v>
      </c>
      <c r="B28" s="2" t="s">
        <v>209</v>
      </c>
      <c r="C28" s="2" t="s">
        <v>209</v>
      </c>
      <c r="D28" s="2" t="s">
        <v>210</v>
      </c>
      <c r="E28" s="2" t="s">
        <v>419</v>
      </c>
      <c r="F28" s="2" t="str">
        <f t="shared" si="0"/>
        <v>Open</v>
      </c>
    </row>
    <row r="29" spans="1:6" ht="30" customHeight="1">
      <c r="A29" s="2" t="s">
        <v>211</v>
      </c>
      <c r="B29" s="2" t="s">
        <v>215</v>
      </c>
      <c r="C29" s="2" t="s">
        <v>215</v>
      </c>
      <c r="D29" s="2" t="s">
        <v>216</v>
      </c>
      <c r="E29" s="2" t="s">
        <v>419</v>
      </c>
      <c r="F29" s="2" t="str">
        <f t="shared" si="0"/>
        <v>Open</v>
      </c>
    </row>
    <row r="30" spans="1:6" ht="30" customHeight="1">
      <c r="A30" s="2" t="s">
        <v>217</v>
      </c>
      <c r="B30" s="2" t="s">
        <v>220</v>
      </c>
      <c r="C30" s="2" t="s">
        <v>220</v>
      </c>
      <c r="D30" s="2" t="s">
        <v>93</v>
      </c>
      <c r="E30" s="2" t="s">
        <v>419</v>
      </c>
      <c r="F30" s="2" t="str">
        <f t="shared" si="0"/>
        <v>Open</v>
      </c>
    </row>
    <row r="31" spans="1:6" ht="30" customHeight="1">
      <c r="A31" s="2" t="s">
        <v>221</v>
      </c>
      <c r="B31" s="2" t="s">
        <v>227</v>
      </c>
      <c r="C31" s="2" t="s">
        <v>227</v>
      </c>
      <c r="D31" s="2" t="s">
        <v>228</v>
      </c>
      <c r="E31" s="2" t="s">
        <v>419</v>
      </c>
      <c r="F31" s="2" t="str">
        <f t="shared" si="0"/>
        <v>Open</v>
      </c>
    </row>
    <row r="32" spans="1:6" ht="30" customHeight="1">
      <c r="A32" s="2" t="s">
        <v>229</v>
      </c>
      <c r="B32" s="2" t="s">
        <v>235</v>
      </c>
      <c r="C32" s="2" t="s">
        <v>235</v>
      </c>
      <c r="D32" s="2" t="s">
        <v>236</v>
      </c>
      <c r="E32" s="2" t="s">
        <v>419</v>
      </c>
      <c r="F32" s="2" t="str">
        <f t="shared" si="0"/>
        <v>Open</v>
      </c>
    </row>
    <row r="33" spans="1:6" ht="30" customHeight="1">
      <c r="A33" s="2" t="s">
        <v>237</v>
      </c>
      <c r="B33" s="2" t="s">
        <v>243</v>
      </c>
      <c r="C33" s="2" t="s">
        <v>243</v>
      </c>
      <c r="D33" s="2" t="s">
        <v>244</v>
      </c>
      <c r="E33" s="2" t="s">
        <v>419</v>
      </c>
      <c r="F33" s="2" t="str">
        <f t="shared" si="0"/>
        <v>Open</v>
      </c>
    </row>
    <row r="34" spans="1:6" ht="30" customHeight="1">
      <c r="A34" s="2" t="s">
        <v>245</v>
      </c>
      <c r="B34" s="2" t="s">
        <v>250</v>
      </c>
      <c r="C34" s="2" t="s">
        <v>250</v>
      </c>
      <c r="D34" s="2" t="s">
        <v>251</v>
      </c>
      <c r="E34" s="2" t="s">
        <v>419</v>
      </c>
      <c r="F34" s="2" t="str">
        <f t="shared" si="0"/>
        <v>Open</v>
      </c>
    </row>
    <row r="35" spans="1:6" ht="30" customHeight="1">
      <c r="A35" s="2" t="s">
        <v>252</v>
      </c>
      <c r="B35" s="2" t="s">
        <v>258</v>
      </c>
      <c r="C35" s="2" t="s">
        <v>258</v>
      </c>
      <c r="D35" s="2" t="s">
        <v>259</v>
      </c>
      <c r="E35" s="2" t="s">
        <v>419</v>
      </c>
      <c r="F35" s="2" t="str">
        <f t="shared" si="0"/>
        <v>Open</v>
      </c>
    </row>
    <row r="36" spans="1:6" ht="30" customHeight="1">
      <c r="A36" s="2" t="s">
        <v>260</v>
      </c>
      <c r="B36" s="2" t="s">
        <v>266</v>
      </c>
      <c r="C36" s="2" t="s">
        <v>434</v>
      </c>
      <c r="D36" s="2" t="s">
        <v>267</v>
      </c>
      <c r="E36" s="2" t="s">
        <v>419</v>
      </c>
      <c r="F36" s="2" t="str">
        <f t="shared" si="0"/>
        <v>Open</v>
      </c>
    </row>
    <row r="37" spans="1:6" ht="30" customHeight="1">
      <c r="A37" s="2" t="s">
        <v>268</v>
      </c>
      <c r="B37" s="2" t="s">
        <v>273</v>
      </c>
      <c r="C37" s="2" t="s">
        <v>273</v>
      </c>
      <c r="D37" s="2" t="s">
        <v>274</v>
      </c>
      <c r="E37" s="2" t="s">
        <v>419</v>
      </c>
      <c r="F37" s="2" t="str">
        <f t="shared" si="0"/>
        <v>Open</v>
      </c>
    </row>
    <row r="38" spans="1:6" ht="30" customHeight="1">
      <c r="A38" s="2" t="s">
        <v>275</v>
      </c>
      <c r="B38" s="2" t="s">
        <v>279</v>
      </c>
      <c r="C38" s="2" t="s">
        <v>279</v>
      </c>
      <c r="D38" s="2" t="s">
        <v>280</v>
      </c>
      <c r="E38" s="2" t="s">
        <v>419</v>
      </c>
      <c r="F38" s="2" t="str">
        <f t="shared" si="0"/>
        <v>Open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Dashboard</vt:lpstr>
      <vt:lpstr>Source Register</vt:lpstr>
      <vt:lpstr>Chapter 1 Support</vt:lpstr>
      <vt:lpstr>Chapter 2 Support</vt:lpstr>
      <vt:lpstr>Search Themes</vt:lpstr>
      <vt:lpstr>Excluded Demoted</vt:lpstr>
      <vt:lpstr>Link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2026-07-15T17:23:33Z</dcterms:created>
  <dcterms:modified xsi:type="dcterms:W3CDTF">2026-07-30T17:24:41Z</dcterms:modified>
  <cp:category/>
  <cp:contentStatus/>
</cp:coreProperties>
</file>